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73304d2a4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025cb05fc6c4f15"/>
    <x:sheet xmlns:r="http://schemas.openxmlformats.org/officeDocument/2006/relationships" name="Weekly_Architecture" sheetId="2" r:id="R69b3743f7c8647aa"/>
    <x:sheet xmlns:r="http://schemas.openxmlformats.org/officeDocument/2006/relationships" name="Daily_Rhythm" sheetId="3" r:id="R8363b9c2c69e4907"/>
    <x:sheet xmlns:r="http://schemas.openxmlformats.org/officeDocument/2006/relationships" name="Country_Vertical_Matrix" sheetId="4" r:id="R6560e2466a634951"/>
    <x:sheet xmlns:r="http://schemas.openxmlformats.org/officeDocument/2006/relationships" name="Buyer_Stack" sheetId="5" r:id="Rb5ced9198a084d39"/>
    <x:sheet xmlns:r="http://schemas.openxmlformats.org/officeDocument/2006/relationships" name="Supplier_Stack" sheetId="6" r:id="R7a9e2023276749b6"/>
    <x:sheet xmlns:r="http://schemas.openxmlformats.org/officeDocument/2006/relationships" name="Apollo_Strategy" sheetId="7" r:id="Ra358b2c4533f45c7"/>
    <x:sheet xmlns:r="http://schemas.openxmlformats.org/officeDocument/2006/relationships" name="Funnel_KPI" sheetId="8" r:id="Rebd514c663ad4ff0"/>
    <x:sheet xmlns:r="http://schemas.openxmlformats.org/officeDocument/2006/relationships" name="30_Day_Action" sheetId="9" r:id="Re85b99a862614f84"/>
    <x:sheet xmlns:r="http://schemas.openxmlformats.org/officeDocument/2006/relationships" name="Sources" sheetId="10" r:id="R58a4de17e816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4"/>
      <x:color rgb="1F2937"/>
      <x:name val="Aptos"/>
    </x:font>
    <x:font>
      <x:i/>
      <x:sz val="10"/>
      <x:color rgb="6B7280"/>
      <x:name val="Aptos"/>
    </x:font>
    <x:font>
      <x:b/>
      <x:sz val="10"/>
      <x:color rgb="FFFFFF"/>
      <x:name val="Aptos"/>
    </x:font>
    <x:font>
      <x:sz val="10"/>
      <x:color rgb="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5F3FF"/>
      </x:patternFill>
    </x:fill>
    <x:fill>
      <x:patternFill patternType="solid">
        <x:fgColor rgb="7C3AED"/>
      </x:patternFill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EFF6FF"/>
      </x:patternFill>
    </x:fill>
  </x:fills>
  <x:borders count="4">
    <x:border/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left" wrapText="1"/>
    </x:xf>
    <x:xf numFmtId="0" fontId="4" fillId="0" borderId="2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left" wrapText="1"/>
    </x:xf>
    <x:xf numFmtId="0" fontId="4" fillId="0" borderId="3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left" wrapText="1"/>
    </x:xf>
    <x:xf numFmtId="0" fontId="4" fillId="5" borderId="2" xfId="0" applyNumberFormat="1" applyFont="1" applyFill="1" applyBorder="1" applyAlignment="1">
      <x:alignment horizontal="left"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left" wrapText="1"/>
    </x:xf>
    <x:xf numFmtId="0" fontId="4" fillId="5" borderId="3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left" wrapText="1"/>
    </x:xf>
    <x:xf numFmtId="0" fontId="4" fillId="6" borderId="2" xfId="0" applyNumberFormat="1" applyFont="1" applyFill="1" applyBorder="1" applyAlignment="1">
      <x:alignment horizontal="left"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3" xfId="0" applyNumberFormat="1" applyFont="1" applyFill="1" applyBorder="1"/>
    <x:xf numFmtId="0" fontId="4" fillId="6" borderId="3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horizontal="left" wrapText="1"/>
    </x:xf>
    <x:xf numFmtId="0" fontId="4" fillId="6" borderId="3" xfId="0" applyNumberFormat="1" applyFont="1" applyFill="1" applyBorder="1" applyAlignment="1">
      <x:alignment horizontal="left" vertical="top" wrapText="1"/>
    </x:xf>
    <x:xf numFmtId="200" fontId="4" fillId="0" borderId="2" xfId="0" applyNumberFormat="1" applyFont="1" applyFill="1" applyBorder="1" applyAlignment="1">
      <x:alignment horizontal="left" vertical="top" wrapText="1"/>
    </x:xf>
    <x:xf numFmtId="200" fontId="4" fillId="0" borderId="3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791512caf42e5" /><Relationship Type="http://schemas.openxmlformats.org/officeDocument/2006/relationships/theme" Target="/xl/theme/theme1.xml" Id="Ra85d2a87142c4487" /><Relationship Type="http://schemas.openxmlformats.org/officeDocument/2006/relationships/sharedStrings" Target="/xl/sharedStrings.xml" Id="Rc9a00c4f64f34841" /><Relationship Type="http://schemas.openxmlformats.org/officeDocument/2006/relationships/worksheet" Target="/xl/worksheets/sheet1.xml" Id="R0025cb05fc6c4f15" /><Relationship Type="http://schemas.openxmlformats.org/officeDocument/2006/relationships/worksheet" Target="/xl/worksheets/sheet2.xml" Id="R69b3743f7c8647aa" /><Relationship Type="http://schemas.openxmlformats.org/officeDocument/2006/relationships/worksheet" Target="/xl/worksheets/sheet3.xml" Id="R8363b9c2c69e4907" /><Relationship Type="http://schemas.openxmlformats.org/officeDocument/2006/relationships/worksheet" Target="/xl/worksheets/sheet4.xml" Id="R6560e2466a634951" /><Relationship Type="http://schemas.openxmlformats.org/officeDocument/2006/relationships/worksheet" Target="/xl/worksheets/sheet5.xml" Id="Rb5ced9198a084d39" /><Relationship Type="http://schemas.openxmlformats.org/officeDocument/2006/relationships/worksheet" Target="/xl/worksheets/sheet6.xml" Id="R7a9e2023276749b6" /><Relationship Type="http://schemas.openxmlformats.org/officeDocument/2006/relationships/worksheet" Target="/xl/worksheets/sheet7.xml" Id="Ra358b2c4533f45c7" /><Relationship Type="http://schemas.openxmlformats.org/officeDocument/2006/relationships/worksheet" Target="/xl/worksheets/sheet8.xml" Id="Rebd514c663ad4ff0" /><Relationship Type="http://schemas.openxmlformats.org/officeDocument/2006/relationships/worksheet" Target="/xl/worksheets/sheet9.xml" Id="Re85b99a862614f84" /><Relationship Type="http://schemas.openxmlformats.org/officeDocument/2006/relationships/worksheet" Target="/xl/worksheets/sheet10.xml" Id="R58a4de17e81645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6" hidden="0" customWidth="1"/>
    <x:col min="5" max="5" width="12" hidden="0" customWidth="1"/>
    <x:col min="6" max="6" width="26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</x:cols>
  <x:sheetData>
    <x:row r="1" ht="17.08984375" hidden="0" customHeight="1">
      <x:c r="A1" s="5" t="str">
        <x:v>Harvics Global Ventures — 30-Day Outbound Operating Plan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</x:row>
    <x:row r="2" ht="15" hidden="0" customHeight="1">
      <x:c r="A2" s="10" t="str">
        <x:v>Channels: LinkedIn Personal, Sales Navigator, Apollo | Verticals: Textile, FMCG, HR | Motions: Buyer + Supplier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</x:row>
    <x:row r="3"/>
    <x:row r="4" ht="15" hidden="0" customHeight="1">
      <x:c r="A4" s="17" t="str">
        <x:v>Metric</x:v>
      </x:c>
      <x:c r="B4" s="17" t="str">
        <x:v>Formula / Basis</x:v>
      </x:c>
      <x:c r="C4" s="17" t="str">
        <x:v>Value</x:v>
      </x:c>
      <x:c r="E4" s="39" t="str">
        <x:v>Week</x:v>
      </x:c>
      <x:c r="F4" s="39" t="str">
        <x:v>Country Focus</x:v>
      </x:c>
      <x:c r="G4" s="39" t="str">
        <x:v>Vertical Focus</x:v>
      </x:c>
      <x:c r="H4" s="39" t="str">
        <x:v>Buyer %</x:v>
      </x:c>
      <x:c r="I4" s="39" t="str">
        <x:v>Supplier %</x:v>
      </x:c>
      <x:c r="J4" s="39" t="str">
        <x:v>Daily Msgs</x:v>
      </x:c>
      <x:c r="K4" s="39" t="str">
        <x:v>Daily Apollo</x:v>
      </x:c>
      <x:c r="L4" s="39" t="str">
        <x:v>Primary Objective</x:v>
      </x:c>
    </x:row>
    <x:row r="5" ht="15" hidden="0" customHeight="1">
      <x:c r="A5" s="28" t="str">
        <x:v>Campaign days</x:v>
      </x:c>
      <x:c r="B5" s="28" t="str">
        <x:v>30 calendar days</x:v>
      </x:c>
      <x:c r="C5" s="28" t="str"/>
      <x:c r="E5" s="51" t="str">
        <x:v>Week 1</x:v>
      </x:c>
      <x:c r="F5" s="51" t="str">
        <x:v>Poland, UAE, Sweden, Saudi</x:v>
      </x:c>
      <x:c r="G5" s="51" t="str">
        <x:v>FMCG + Textile</x:v>
      </x:c>
      <x:c r="H5" s="51" t="str">
        <x:v>65%</x:v>
      </x:c>
      <x:c r="I5" s="51" t="str">
        <x:v>35%</x:v>
      </x:c>
      <x:c r="J5" s="51" t="str">
        <x:v>20</x:v>
      </x:c>
      <x:c r="K5" s="51" t="str">
        <x:v>8–12</x:v>
      </x:c>
      <x:c r="L5" s="51" t="str">
        <x:v>Build lists and launch first wave</x:v>
      </x:c>
    </x:row>
    <x:row r="6" ht="24.4140625" hidden="0" customHeight="1">
      <x:c r="A6" s="28" t="str">
        <x:v>Outbound target per day</x:v>
      </x:c>
      <x:c r="B6" s="28" t="str">
        <x:v>Fixed plan</x:v>
      </x:c>
      <x:c r="C6" s="28" t="str">
        <x:v>20</x:v>
      </x:c>
      <x:c r="E6" s="51" t="str">
        <x:v>Week 2</x:v>
      </x:c>
      <x:c r="F6" s="51" t="str">
        <x:v>Romania, Oman, Qatar, Pakistan, Germany</x:v>
      </x:c>
      <x:c r="G6" s="51" t="str">
        <x:v>Textile + FMCG + light HR</x:v>
      </x:c>
      <x:c r="H6" s="51" t="str">
        <x:v>55%</x:v>
      </x:c>
      <x:c r="I6" s="51" t="str">
        <x:v>45%</x:v>
      </x:c>
      <x:c r="J6" s="51" t="str">
        <x:v>20</x:v>
      </x:c>
      <x:c r="K6" s="51" t="str">
        <x:v>10–15</x:v>
      </x:c>
      <x:c r="L6" s="51" t="str">
        <x:v>Expand geography and add supplier lane</x:v>
      </x:c>
    </x:row>
    <x:row r="7" ht="15" hidden="0" customHeight="1">
      <x:c r="A7" s="28" t="str">
        <x:v>Total outbound target</x:v>
      </x:c>
      <x:c r="B7" s="28" t="n">
        <x:f>30*20</x:f>
        <x:v>600</x:v>
      </x:c>
      <x:c r="C7" s="28" t="n">
        <x:f>30*20</x:f>
        <x:v>600</x:v>
      </x:c>
      <x:c r="E7" s="51" t="str">
        <x:v>Week 3</x:v>
      </x:c>
      <x:c r="F7" s="51" t="str">
        <x:v>Top responders + selective Africa</x:v>
      </x:c>
      <x:c r="G7" s="51" t="str">
        <x:v>All 3 verticals</x:v>
      </x:c>
      <x:c r="H7" s="51" t="str">
        <x:v>60%</x:v>
      </x:c>
      <x:c r="I7" s="51" t="str">
        <x:v>40%</x:v>
      </x:c>
      <x:c r="J7" s="51" t="str">
        <x:v>20</x:v>
      </x:c>
      <x:c r="K7" s="51" t="str">
        <x:v>12–18</x:v>
      </x:c>
      <x:c r="L7" s="51" t="str">
        <x:v>Qualification and conversion</x:v>
      </x:c>
    </x:row>
    <x:row r="8" ht="15" hidden="0" customHeight="1">
      <x:c r="A8" s="28" t="str">
        <x:v>Buyer/Supplier base mix</x:v>
      </x:c>
      <x:c r="B8" s="28" t="str">
        <x:v>60% / 40% overall</x:v>
      </x:c>
      <x:c r="C8" s="28" t="str"/>
      <x:c r="E8" s="51" t="str">
        <x:v>Week 4–5</x:v>
      </x:c>
      <x:c r="F8" s="51" t="str">
        <x:v>Best 4 countries only</x:v>
      </x:c>
      <x:c r="G8" s="51" t="str">
        <x:v>Top 2 verticals only</x:v>
      </x:c>
      <x:c r="H8" s="51" t="str">
        <x:v>70%</x:v>
      </x:c>
      <x:c r="I8" s="51" t="str">
        <x:v>30%</x:v>
      </x:c>
      <x:c r="J8" s="51" t="str">
        <x:v>20</x:v>
      </x:c>
      <x:c r="K8" s="51" t="str">
        <x:v>10–12</x:v>
      </x:c>
      <x:c r="L8" s="51" t="str">
        <x:v>Meeting push and consolidation</x:v>
      </x:c>
    </x:row>
    <x:row r="9" ht="15" hidden="0" customHeight="1">
      <x:c r="A9" s="28" t="str">
        <x:v>Week 1 buyer messages</x:v>
      </x:c>
      <x:c r="B9" s="28" t="str">
        <x:v>14 per day × 7</x:v>
      </x:c>
      <x:c r="C9" s="28" t="n">
        <x:f>14*7</x:f>
        <x:v>98</x:v>
      </x:c>
    </x:row>
    <x:row r="10" ht="15" hidden="0" customHeight="1">
      <x:c r="A10" s="28" t="str">
        <x:v>Week 2 buyer messages</x:v>
      </x:c>
      <x:c r="B10" s="28" t="str">
        <x:v>11 per day × 7</x:v>
      </x:c>
      <x:c r="C10" s="28" t="n">
        <x:f>11*7</x:f>
        <x:v>77</x:v>
      </x:c>
      <x:c r="E10" s="17" t="str">
        <x:v>Source Type</x:v>
      </x:c>
      <x:c r="F10" s="17" t="str">
        <x:v>Source / Link</x:v>
      </x:c>
      <x:c r="G10" s="17" t="str">
        <x:v>Why Used</x:v>
      </x:c>
    </x:row>
    <x:row r="11" ht="36.62109375" hidden="0" customHeight="1">
      <x:c r="A11" s="28" t="str">
        <x:v>Week 3 buyer messages</x:v>
      </x:c>
      <x:c r="B11" s="28" t="str">
        <x:v>12 per day × 7</x:v>
      </x:c>
      <x:c r="C11" s="28" t="n">
        <x:f>12*7</x:f>
        <x:v>84</x:v>
      </x:c>
      <x:c r="E11" s="63" t="str">
        <x:v>LinkedIn Sales Navigator Pricing</x:v>
      </x:c>
      <x:c r="F11" s="63" t="str">
        <x:v>https://business.linkedin.com/sell/sales-navigator/compare-plans</x:v>
      </x:c>
      <x:c r="G11" s="63" t="str">
        <x:v>Current official plan/pricing assumptions and plan distinctions</x:v>
      </x:c>
    </x:row>
    <x:row r="12" ht="36.62109375" hidden="0" customHeight="1">
      <x:c r="A12" s="28" t="str">
        <x:v>Week 4 fresh+follow-up mix</x:v>
      </x:c>
      <x:c r="B12" s="28" t="str">
        <x:v>10 fresh + 10 follow-up</x:v>
      </x:c>
      <x:c r="C12" s="28" t="str"/>
      <x:c r="E12" s="63" t="str">
        <x:v>Apollo Pricing</x:v>
      </x:c>
      <x:c r="F12" s="63" t="str">
        <x:v>https://www.apollo.io/pricing</x:v>
      </x:c>
      <x:c r="G12" s="63" t="str">
        <x:v>Current official Apollo credits/pricing and credit policy reference</x:v>
      </x:c>
    </x:row>
    <x:row r="13" ht="48.828125" hidden="0" customHeight="1">
      <x:c r="A13" s="28" t="str">
        <x:v>Suggested Apollo enrich/day</x:v>
      </x:c>
      <x:c r="B13" s="28" t="str">
        <x:v>8 to 15 depending on fit</x:v>
      </x:c>
      <x:c r="C13" s="28" t="str"/>
      <x:c r="E13" s="63" t="str">
        <x:v>LinkedIn Professional Community Policies</x:v>
      </x:c>
      <x:c r="F13" s="63" t="str">
        <x:v>https://www.linkedin.com/legal/professional-community-policies</x:v>
      </x:c>
      <x:c r="G13" s="63" t="str">
        <x:v>Used to keep plan compliant and non-spammy</x:v>
      </x:c>
    </x:row>
    <x:row r="14" ht="24.4140625" hidden="0" customHeight="1">
      <x:c r="A14" s="28" t="str">
        <x:v>Core countries</x:v>
      </x:c>
      <x:c r="B14" s="28" t="str">
        <x:v>Poland, Sweden, Romania, UAE, Saudi, Oman, Qatar, Germany, Pakistan</x:v>
      </x:c>
      <x:c r="C14" s="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16" hidden="0" customWidth="1"/>
    <x:col min="5" max="5" width="20" hidden="0" customWidth="1"/>
    <x:col min="6" max="6" width="22" hidden="0" customWidth="1"/>
    <x:col min="7" max="7" width="18" hidden="0" customWidth="1"/>
    <x:col min="8" max="8" width="24" hidden="0" customWidth="1"/>
    <x:col min="9" max="9" width="26" hidden="0" customWidth="1"/>
    <x:col min="10" max="10" width="24" hidden="0" customWidth="1"/>
  </x:cols>
  <x:sheetData>
    <x:row r="1" ht="24" customHeight="1">
      <x:c r="A1" s="5" t="str">
        <x:v>Weekly Architecture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</x:row>
    <x:row r="3" ht="15" hidden="0" customHeight="1">
      <x:c r="A3" s="17" t="str">
        <x:v>Week</x:v>
      </x:c>
      <x:c r="B3" s="17" t="str">
        <x:v>Country Focus</x:v>
      </x:c>
      <x:c r="C3" s="17" t="str">
        <x:v>Vertical Focus</x:v>
      </x:c>
      <x:c r="D3" s="17" t="str">
        <x:v>Buyer/Supplier Split</x:v>
      </x:c>
      <x:c r="E3" s="17" t="str">
        <x:v>Channel Split</x:v>
      </x:c>
      <x:c r="F3" s="17" t="str">
        <x:v>Message Plan</x:v>
      </x:c>
      <x:c r="G3" s="17" t="str">
        <x:v>Apollo Plan</x:v>
      </x:c>
      <x:c r="H3" s="17" t="str">
        <x:v>Follow-up Plan</x:v>
      </x:c>
      <x:c r="I3" s="17" t="str">
        <x:v>Risk Control</x:v>
      </x:c>
      <x:c r="J3" s="17" t="str">
        <x:v>Expected Output</x:v>
      </x:c>
    </x:row>
    <x:row r="4" ht="24.4140625" hidden="0" customHeight="1">
      <x:c r="A4" s="28" t="str">
        <x:v>Week 1</x:v>
      </x:c>
      <x:c r="B4" s="28" t="str">
        <x:v>Poland, UAE, Sweden, Saudi</x:v>
      </x:c>
      <x:c r="C4" s="28" t="str">
        <x:v>FMCG + Textile</x:v>
      </x:c>
      <x:c r="D4" s="28" t="str">
        <x:v>65 / 35</x:v>
      </x:c>
      <x:c r="E4" s="28" t="str">
        <x:v>SN 50%, LI 30%, Apollo 20%</x:v>
      </x:c>
      <x:c r="F4" s="28" t="str">
        <x:v>20/day = 14 buyer, 6 supplier</x:v>
      </x:c>
      <x:c r="G4" s="28" t="str">
        <x:v>8–12/day after shortlist</x:v>
      </x:c>
      <x:c r="H4" s="28" t="str">
        <x:v>Very light; only older warmed leads</x:v>
      </x:c>
      <x:c r="I4" s="28" t="str">
        <x:v>Use 3–4 message variants and stagger search/connect/msg</x:v>
      </x:c>
      <x:c r="J4" s="28" t="str">
        <x:v>First reply pool and clean account lists</x:v>
      </x:c>
    </x:row>
    <x:row r="5" ht="24.4140625" hidden="0" customHeight="1">
      <x:c r="A5" s="28" t="str">
        <x:v>Week 2</x:v>
      </x:c>
      <x:c r="B5" s="28" t="str">
        <x:v>Romania, Oman, Qatar, Pakistan, Germany</x:v>
      </x:c>
      <x:c r="C5" s="28" t="str">
        <x:v>Textile + FMCG + light HR</x:v>
      </x:c>
      <x:c r="D5" s="28" t="str">
        <x:v>55 / 45</x:v>
      </x:c>
      <x:c r="E5" s="28" t="str">
        <x:v>SN 45%, LI 30%, Apollo 25%</x:v>
      </x:c>
      <x:c r="F5" s="28" t="str">
        <x:v>20/day = 11 buyer, 9 supplier</x:v>
      </x:c>
      <x:c r="G5" s="28" t="str">
        <x:v>10–15/day, accepted or high-fit only</x:v>
      </x:c>
      <x:c r="H5" s="28" t="str">
        <x:v>Follow-up Week 1 non-responders</x:v>
      </x:c>
      <x:c r="I5" s="28" t="str">
        <x:v>Rotate country + vertical daily; no repetitive title overuse</x:v>
      </x:c>
      <x:c r="J5" s="28" t="str">
        <x:v>Dual pipeline visible; stronger supplier lane</x:v>
      </x:c>
    </x:row>
    <x:row r="6" ht="36.62109375" hidden="0" customHeight="1">
      <x:c r="A6" s="28" t="str">
        <x:v>Week 3</x:v>
      </x:c>
      <x:c r="B6" s="28" t="str">
        <x:v>Poland, Sweden, UAE, Saudi, Romania, selective Africa</x:v>
      </x:c>
      <x:c r="C6" s="28" t="str">
        <x:v>All 3 verticals</x:v>
      </x:c>
      <x:c r="D6" s="28" t="str">
        <x:v>60 / 40</x:v>
      </x:c>
      <x:c r="E6" s="28" t="str">
        <x:v>SN 40%, LI 30%, Apollo 30%</x:v>
      </x:c>
      <x:c r="F6" s="28" t="str">
        <x:v>20/day = 12 buyer, 8 supplier</x:v>
      </x:c>
      <x:c r="G6" s="28" t="str">
        <x:v>12–18/day on medium/high-intent leads</x:v>
      </x:c>
      <x:c r="H6" s="28" t="str">
        <x:v>Second touch W1; first touch W2</x:v>
      </x:c>
      <x:c r="I6" s="28" t="str">
        <x:v>Reduce raw search a bit; increase qualification</x:v>
      </x:c>
      <x:c r="J6" s="28" t="str">
        <x:v>More qualified leads and first meetings</x:v>
      </x:c>
    </x:row>
    <x:row r="7" ht="24.4140625" hidden="0" customHeight="1">
      <x:c r="A7" s="28" t="str">
        <x:v>Week 4–5</x:v>
      </x:c>
      <x:c r="B7" s="28" t="str">
        <x:v>Best 4 countries + one backup</x:v>
      </x:c>
      <x:c r="C7" s="28" t="str">
        <x:v>Top 2 verticals only</x:v>
      </x:c>
      <x:c r="D7" s="28" t="str">
        <x:v>70 / 30</x:v>
      </x:c>
      <x:c r="E7" s="28" t="str">
        <x:v>SN 35%, LI 30%, Apollo 35%</x:v>
      </x:c>
      <x:c r="F7" s="28" t="str">
        <x:v>10 fresh + 10 follow-up/day</x:v>
      </x:c>
      <x:c r="G7" s="28" t="str">
        <x:v>10–12/day highly selective</x:v>
      </x:c>
      <x:c r="H7" s="28" t="str">
        <x:v>Strongest meeting push</x:v>
      </x:c>
      <x:c r="I7" s="28" t="str">
        <x:v>Pause weak geos/verticals; prioritize responders</x:v>
      </x:c>
      <x:c r="J7" s="28" t="str">
        <x:v>Meetings, qualified opps, next-cycle learning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8" hidden="0" customWidth="1"/>
    <x:col min="8" max="8" width="12" hidden="0" customWidth="1"/>
    <x:col min="9" max="9" width="28" hidden="0" customWidth="1"/>
    <x:col min="10" max="10" width="22" hidden="0" customWidth="1"/>
  </x:cols>
  <x:sheetData>
    <x:row r="1" ht="24" customHeight="1">
      <x:c r="A1" s="5" t="str">
        <x:v>7-Day Model Week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</x:row>
    <x:row r="3" ht="15" hidden="0" customHeight="1">
      <x:c r="A3" s="39" t="str">
        <x:v>Day</x:v>
      </x:c>
      <x:c r="B3" s="39" t="str">
        <x:v>Primary Focus</x:v>
      </x:c>
      <x:c r="C3" s="39" t="str">
        <x:v>Searches</x:v>
      </x:c>
      <x:c r="D3" s="39" t="str">
        <x:v>Shortlisted</x:v>
      </x:c>
      <x:c r="E3" s="39" t="str">
        <x:v>Connection Requests</x:v>
      </x:c>
      <x:c r="F3" s="39" t="str">
        <x:v>Messages</x:v>
      </x:c>
      <x:c r="G3" s="39" t="str">
        <x:v>Apollo Enrichments</x:v>
      </x:c>
      <x:c r="H3" s="39" t="str">
        <x:v>Follow-ups</x:v>
      </x:c>
      <x:c r="I3" s="39" t="str">
        <x:v>Pacing Notes</x:v>
      </x:c>
      <x:c r="J3" s="39" t="str">
        <x:v>Main Output</x:v>
      </x:c>
    </x:row>
    <x:row r="4" ht="24.4140625" hidden="0" customHeight="1">
      <x:c r="A4" s="51" t="str">
        <x:v>Day 1</x:v>
      </x:c>
      <x:c r="B4" s="51" t="str">
        <x:v>Search + shortlist</x:v>
      </x:c>
      <x:c r="C4" s="51" t="str">
        <x:v>60–80</x:v>
      </x:c>
      <x:c r="D4" s="51" t="str">
        <x:v>25</x:v>
      </x:c>
      <x:c r="E4" s="51" t="str">
        <x:v>10</x:v>
      </x:c>
      <x:c r="F4" s="51" t="str">
        <x:v>10</x:v>
      </x:c>
      <x:c r="G4" s="51" t="str">
        <x:v>5</x:v>
      </x:c>
      <x:c r="H4" s="51" t="str">
        <x:v>0–5</x:v>
      </x:c>
      <x:c r="I4" s="51" t="str">
        <x:v>Heavy Sales Navigator and list building; no rush on enrichment</x:v>
      </x:c>
      <x:c r="J4" s="51" t="str">
        <x:v>Fresh, high-fit shortlist</x:v>
      </x:c>
    </x:row>
    <x:row r="5" ht="15" hidden="0" customHeight="1">
      <x:c r="A5" s="51" t="str">
        <x:v>Day 2</x:v>
      </x:c>
      <x:c r="B5" s="51" t="str">
        <x:v>Search + connect + enrich</x:v>
      </x:c>
      <x:c r="C5" s="51" t="str">
        <x:v>50–70</x:v>
      </x:c>
      <x:c r="D5" s="51" t="str">
        <x:v>20</x:v>
      </x:c>
      <x:c r="E5" s="51" t="str">
        <x:v>15</x:v>
      </x:c>
      <x:c r="F5" s="51" t="str">
        <x:v>10</x:v>
      </x:c>
      <x:c r="G5" s="51" t="str">
        <x:v>8–10</x:v>
      </x:c>
      <x:c r="H5" s="51" t="str">
        <x:v>5</x:v>
      </x:c>
      <x:c r="I5" s="51" t="str">
        <x:v>Balance buyer and supplier lanes</x:v>
      </x:c>
      <x:c r="J5" s="51" t="str">
        <x:v>Qualified connection queue</x:v>
      </x:c>
    </x:row>
    <x:row r="6" ht="24.4140625" hidden="0" customHeight="1">
      <x:c r="A6" s="51" t="str">
        <x:v>Day 3</x:v>
      </x:c>
      <x:c r="B6" s="51" t="str">
        <x:v>First real outreach push</x:v>
      </x:c>
      <x:c r="C6" s="51" t="str">
        <x:v>40–50</x:v>
      </x:c>
      <x:c r="D6" s="51" t="str">
        <x:v>15</x:v>
      </x:c>
      <x:c r="E6" s="51" t="str">
        <x:v>10</x:v>
      </x:c>
      <x:c r="F6" s="51" t="str">
        <x:v>20</x:v>
      </x:c>
      <x:c r="G6" s="51" t="str">
        <x:v>10</x:v>
      </x:c>
      <x:c r="H6" s="51" t="str">
        <x:v>5</x:v>
      </x:c>
      <x:c r="I6" s="51" t="str">
        <x:v>Use 3–4 message variants; country rotation begins</x:v>
      </x:c>
      <x:c r="J6" s="51" t="str">
        <x:v>Replies begin</x:v>
      </x:c>
    </x:row>
    <x:row r="7" ht="15" hidden="0" customHeight="1">
      <x:c r="A7" s="51" t="str">
        <x:v>Day 4</x:v>
      </x:c>
      <x:c r="B7" s="51" t="str">
        <x:v>Rotation + qualification</x:v>
      </x:c>
      <x:c r="C7" s="51" t="str">
        <x:v>40</x:v>
      </x:c>
      <x:c r="D7" s="51" t="str">
        <x:v>15</x:v>
      </x:c>
      <x:c r="E7" s="51" t="str">
        <x:v>10</x:v>
      </x:c>
      <x:c r="F7" s="51" t="str">
        <x:v>12</x:v>
      </x:c>
      <x:c r="G7" s="51" t="str">
        <x:v>8</x:v>
      </x:c>
      <x:c r="H7" s="51" t="str">
        <x:v>8–10</x:v>
      </x:c>
      <x:c r="I7" s="51" t="str">
        <x:v>Switch primary country and vertical</x:v>
      </x:c>
      <x:c r="J7" s="51" t="str">
        <x:v>Cleaner qualification</x:v>
      </x:c>
    </x:row>
    <x:row r="8" ht="24.4140625" hidden="0" customHeight="1">
      <x:c r="A8" s="51" t="str">
        <x:v>Day 5</x:v>
      </x:c>
      <x:c r="B8" s="51" t="str">
        <x:v>Supplier emphasis day</x:v>
      </x:c>
      <x:c r="C8" s="51" t="str">
        <x:v>50</x:v>
      </x:c>
      <x:c r="D8" s="51" t="str">
        <x:v>20</x:v>
      </x:c>
      <x:c r="E8" s="51" t="str">
        <x:v>10</x:v>
      </x:c>
      <x:c r="F8" s="51" t="str">
        <x:v>20</x:v>
      </x:c>
      <x:c r="G8" s="51" t="str">
        <x:v>10</x:v>
      </x:c>
      <x:c r="H8" s="51" t="str">
        <x:v>8</x:v>
      </x:c>
      <x:c r="I8" s="51" t="str">
        <x:v>Heavy supplier lane for textile + FMCG</x:v>
      </x:c>
      <x:c r="J8" s="51" t="str">
        <x:v>Supplier pipeline depth</x:v>
      </x:c>
    </x:row>
    <x:row r="9" ht="24.4140625" hidden="0" customHeight="1">
      <x:c r="A9" s="51" t="str">
        <x:v>Day 6</x:v>
      </x:c>
      <x:c r="B9" s="51" t="str">
        <x:v>Conversion + cleanup</x:v>
      </x:c>
      <x:c r="C9" s="51" t="str">
        <x:v>25–30</x:v>
      </x:c>
      <x:c r="D9" s="51" t="str">
        <x:v>10</x:v>
      </x:c>
      <x:c r="E9" s="51" t="str">
        <x:v>5</x:v>
      </x:c>
      <x:c r="F9" s="51" t="str">
        <x:v>10</x:v>
      </x:c>
      <x:c r="G9" s="51" t="str">
        <x:v>5</x:v>
      </x:c>
      <x:c r="H9" s="51" t="str">
        <x:v>15</x:v>
      </x:c>
      <x:c r="I9" s="51" t="str">
        <x:v>Warm lead focus; fewer new connects</x:v>
      </x:c>
      <x:c r="J9" s="51" t="str">
        <x:v>Meetings and CRM hygiene</x:v>
      </x:c>
    </x:row>
    <x:row r="10" ht="24.4140625" hidden="0" customHeight="1">
      <x:c r="A10" s="51" t="str">
        <x:v>Day 7</x:v>
      </x:c>
      <x:c r="B10" s="51" t="str">
        <x:v>Light review day</x:v>
      </x:c>
      <x:c r="C10" s="51" t="str">
        <x:v>10–20</x:v>
      </x:c>
      <x:c r="D10" s="51" t="str">
        <x:v>5</x:v>
      </x:c>
      <x:c r="E10" s="51" t="str">
        <x:v>0–5</x:v>
      </x:c>
      <x:c r="F10" s="51" t="str">
        <x:v>5–10</x:v>
      </x:c>
      <x:c r="G10" s="51" t="str">
        <x:v>0–3</x:v>
      </x:c>
      <x:c r="H10" s="51" t="str">
        <x:v>10</x:v>
      </x:c>
      <x:c r="I10" s="51" t="str">
        <x:v>Lowest-risk day; review, tag, prep next week</x:v>
      </x:c>
      <x:c r="J10" s="51" t="str">
        <x:v>Campaign review and next list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2" hidden="0" customWidth="1"/>
  </x:cols>
  <x:sheetData>
    <x:row r="1" ht="24" customHeight="1">
      <x:c r="A1" s="5" t="str">
        <x:v>Country and Vertical Split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3" ht="15" hidden="0" customHeight="1">
      <x:c r="A3" s="17" t="str">
        <x:v>Country</x:v>
      </x:c>
      <x:c r="B3" s="17" t="str">
        <x:v>Region</x:v>
      </x:c>
      <x:c r="C3" s="17" t="str">
        <x:v>Textile Buyer</x:v>
      </x:c>
      <x:c r="D3" s="17" t="str">
        <x:v>Textile Supplier</x:v>
      </x:c>
      <x:c r="E3" s="17" t="str">
        <x:v>FMCG Buyer</x:v>
      </x:c>
      <x:c r="F3" s="17" t="str">
        <x:v>FMCG Supplier</x:v>
      </x:c>
      <x:c r="G3" s="17" t="str">
        <x:v>HR Buyer</x:v>
      </x:c>
      <x:c r="H3" s="17" t="str">
        <x:v>Priority Rationale</x:v>
      </x:c>
    </x:row>
    <x:row r="4" ht="24.4140625" hidden="0" customHeight="1">
      <x:c r="A4" s="28" t="str">
        <x:v>Poland</x:v>
      </x:c>
      <x:c r="B4" s="28" t="str">
        <x:v>Central Europe</x:v>
      </x:c>
      <x:c r="C4" s="28" t="str">
        <x:v>High</x:v>
      </x:c>
      <x:c r="D4" s="28" t="str">
        <x:v>Medium</x:v>
      </x:c>
      <x:c r="E4" s="28" t="str">
        <x:v>High</x:v>
      </x:c>
      <x:c r="F4" s="28" t="str">
        <x:v>Medium</x:v>
      </x:c>
      <x:c r="G4" s="28" t="str">
        <x:v>Medium</x:v>
      </x:c>
      <x:c r="H4" s="28" t="str">
        <x:v>Gateway market, distributor-led, useful for textile + FMCG</x:v>
      </x:c>
    </x:row>
    <x:row r="5" ht="24.4140625" hidden="0" customHeight="1">
      <x:c r="A5" s="28" t="str">
        <x:v>Sweden</x:v>
      </x:c>
      <x:c r="B5" s="28" t="str">
        <x:v>Scandinavia</x:v>
      </x:c>
      <x:c r="C5" s="28" t="str">
        <x:v>Medium</x:v>
      </x:c>
      <x:c r="D5" s="28" t="str">
        <x:v>Low</x:v>
      </x:c>
      <x:c r="E5" s="28" t="str">
        <x:v>High</x:v>
      </x:c>
      <x:c r="F5" s="28" t="str">
        <x:v>Low</x:v>
      </x:c>
      <x:c r="G5" s="28" t="str">
        <x:v>Low</x:v>
      </x:c>
      <x:c r="H5" s="28" t="str">
        <x:v>Selective premium FMCG and ethnic/halal demand</x:v>
      </x:c>
    </x:row>
    <x:row r="6" ht="24.4140625" hidden="0" customHeight="1">
      <x:c r="A6" s="28" t="str">
        <x:v>Romania</x:v>
      </x:c>
      <x:c r="B6" s="28" t="str">
        <x:v>Eastern Europe</x:v>
      </x:c>
      <x:c r="C6" s="28" t="str">
        <x:v>High</x:v>
      </x:c>
      <x:c r="D6" s="28" t="str">
        <x:v>Medium</x:v>
      </x:c>
      <x:c r="E6" s="28" t="str">
        <x:v>Medium</x:v>
      </x:c>
      <x:c r="F6" s="28" t="str">
        <x:v>Medium</x:v>
      </x:c>
      <x:c r="G6" s="28" t="str">
        <x:v>Low</x:v>
      </x:c>
      <x:c r="H6" s="28" t="str">
        <x:v>Accessible expansion market with importer/distributor mix</x:v>
      </x:c>
    </x:row>
    <x:row r="7" ht="24.4140625" hidden="0" customHeight="1">
      <x:c r="A7" s="28" t="str">
        <x:v>UAE</x:v>
      </x:c>
      <x:c r="B7" s="28" t="str">
        <x:v>GCC</x:v>
      </x:c>
      <x:c r="C7" s="28" t="str">
        <x:v>High</x:v>
      </x:c>
      <x:c r="D7" s="28" t="str">
        <x:v>High</x:v>
      </x:c>
      <x:c r="E7" s="28" t="str">
        <x:v>High</x:v>
      </x:c>
      <x:c r="F7" s="28" t="str">
        <x:v>High</x:v>
      </x:c>
      <x:c r="G7" s="28" t="str">
        <x:v>High</x:v>
      </x:c>
      <x:c r="H7" s="28" t="str">
        <x:v>Commercial hub; strong buyer + supplier + HR logic</x:v>
      </x:c>
    </x:row>
    <x:row r="8" ht="24.4140625" hidden="0" customHeight="1">
      <x:c r="A8" s="28" t="str">
        <x:v>Saudi Arabia</x:v>
      </x:c>
      <x:c r="B8" s="28" t="str">
        <x:v>GCC</x:v>
      </x:c>
      <x:c r="C8" s="28" t="str">
        <x:v>High</x:v>
      </x:c>
      <x:c r="D8" s="28" t="str">
        <x:v>Medium</x:v>
      </x:c>
      <x:c r="E8" s="28" t="str">
        <x:v>High</x:v>
      </x:c>
      <x:c r="F8" s="28" t="str">
        <x:v>Medium</x:v>
      </x:c>
      <x:c r="G8" s="28" t="str">
        <x:v>High</x:v>
      </x:c>
      <x:c r="H8" s="28" t="str">
        <x:v>Demand-side strength and HR decision-maker density</x:v>
      </x:c>
    </x:row>
    <x:row r="9" ht="15" hidden="0" customHeight="1">
      <x:c r="A9" s="28" t="str">
        <x:v>Oman</x:v>
      </x:c>
      <x:c r="B9" s="28" t="str">
        <x:v>GCC</x:v>
      </x:c>
      <x:c r="C9" s="28" t="str">
        <x:v>Medium</x:v>
      </x:c>
      <x:c r="D9" s="28" t="str">
        <x:v>Medium</x:v>
      </x:c>
      <x:c r="E9" s="28" t="str">
        <x:v>Medium</x:v>
      </x:c>
      <x:c r="F9" s="28" t="str">
        <x:v>Low</x:v>
      </x:c>
      <x:c r="G9" s="28" t="str">
        <x:v>Low</x:v>
      </x:c>
      <x:c r="H9" s="28" t="str">
        <x:v>Useful niche market and corridor logic</x:v>
      </x:c>
    </x:row>
    <x:row r="10" ht="15" hidden="0" customHeight="1">
      <x:c r="A10" s="28" t="str">
        <x:v>Qatar</x:v>
      </x:c>
      <x:c r="B10" s="28" t="str">
        <x:v>GCC</x:v>
      </x:c>
      <x:c r="C10" s="28" t="str">
        <x:v>Low</x:v>
      </x:c>
      <x:c r="D10" s="28" t="str">
        <x:v>Low</x:v>
      </x:c>
      <x:c r="E10" s="28" t="str">
        <x:v>Medium</x:v>
      </x:c>
      <x:c r="F10" s="28" t="str">
        <x:v>Low</x:v>
      </x:c>
      <x:c r="G10" s="28" t="str">
        <x:v>Medium</x:v>
      </x:c>
      <x:c r="H10" s="28" t="str">
        <x:v>Selective high-value buyer logic</x:v>
      </x:c>
    </x:row>
    <x:row r="11" ht="24.4140625" hidden="0" customHeight="1">
      <x:c r="A11" s="28" t="str">
        <x:v>Germany</x:v>
      </x:c>
      <x:c r="B11" s="28" t="str">
        <x:v>Europe</x:v>
      </x:c>
      <x:c r="C11" s="28" t="str">
        <x:v>Medium</x:v>
      </x:c>
      <x:c r="D11" s="28" t="str">
        <x:v>Low</x:v>
      </x:c>
      <x:c r="E11" s="28" t="str">
        <x:v>Medium</x:v>
      </x:c>
      <x:c r="F11" s="28" t="str">
        <x:v>Low</x:v>
      </x:c>
      <x:c r="G11" s="28" t="str">
        <x:v>High</x:v>
      </x:c>
      <x:c r="H11" s="28" t="str">
        <x:v>Best for HR + selected B2B commercial targets</x:v>
      </x:c>
    </x:row>
    <x:row r="12" ht="24.4140625" hidden="0" customHeight="1">
      <x:c r="A12" s="28" t="str">
        <x:v>Pakistan</x:v>
      </x:c>
      <x:c r="B12" s="28" t="str">
        <x:v>South Asia</x:v>
      </x:c>
      <x:c r="C12" s="28" t="str">
        <x:v>Low</x:v>
      </x:c>
      <x:c r="D12" s="28" t="str">
        <x:v>High</x:v>
      </x:c>
      <x:c r="E12" s="28" t="str">
        <x:v>Low</x:v>
      </x:c>
      <x:c r="F12" s="28" t="str">
        <x:v>High</x:v>
      </x:c>
      <x:c r="G12" s="28" t="str">
        <x:v>Medium</x:v>
      </x:c>
      <x:c r="H12" s="28" t="str">
        <x:v>Supplier-side engine and domestic sourcing base</x:v>
      </x:c>
    </x:row>
    <x:row r="13" ht="15" hidden="0" customHeight="1">
      <x:c r="A13" s="28" t="str">
        <x:v>Bangladesh</x:v>
      </x:c>
      <x:c r="B13" s="28" t="str">
        <x:v>South Asia</x:v>
      </x:c>
      <x:c r="C13" s="28" t="str">
        <x:v>Low</x:v>
      </x:c>
      <x:c r="D13" s="28" t="str">
        <x:v>High</x:v>
      </x:c>
      <x:c r="E13" s="28" t="str">
        <x:v>Low</x:v>
      </x:c>
      <x:c r="F13" s="28" t="str">
        <x:v>Medium</x:v>
      </x:c>
      <x:c r="G13" s="28" t="str">
        <x:v>Low</x:v>
      </x:c>
      <x:c r="H13" s="28" t="str">
        <x:v>Supplier extension mainly for textile</x:v>
      </x:c>
    </x:row>
    <x:row r="14" ht="15" hidden="0" customHeight="1">
      <x:c r="A14" s="28" t="str">
        <x:v>Kenya / South Africa</x:v>
      </x:c>
      <x:c r="B14" s="28" t="str">
        <x:v>Africa selective</x:v>
      </x:c>
      <x:c r="C14" s="28" t="str">
        <x:v>Low</x:v>
      </x:c>
      <x:c r="D14" s="28" t="str">
        <x:v>Low</x:v>
      </x:c>
      <x:c r="E14" s="28" t="str">
        <x:v>Medium</x:v>
      </x:c>
      <x:c r="F14" s="28" t="str">
        <x:v>Low</x:v>
      </x:c>
      <x:c r="G14" s="28" t="str">
        <x:v>Low</x:v>
      </x:c>
      <x:c r="H14" s="28" t="str">
        <x:v>Only if FMCG tests justify expansion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0" hidden="0" customWidth="1"/>
    <x:col min="5" max="5" width="24" hidden="0" customWidth="1"/>
    <x:col min="6" max="6" width="22" hidden="0" customWidth="1"/>
    <x:col min="7" max="7" width="22" hidden="0" customWidth="1"/>
  </x:cols>
  <x:sheetData>
    <x:row r="1" ht="24" customHeight="1">
      <x:c r="A1" s="5" t="str">
        <x:v>Buyer Stack Strategy</x:v>
      </x:c>
      <x:c r="B1" s="5" t="str"/>
      <x:c r="C1" s="5" t="str"/>
      <x:c r="D1" s="5" t="str"/>
      <x:c r="E1" s="5" t="str"/>
      <x:c r="F1" s="5" t="str"/>
      <x:c r="G1" s="5" t="str"/>
    </x:row>
    <x:row r="3" ht="15" hidden="0" customHeight="1">
      <x:c r="A3" s="39" t="str">
        <x:v>Vertical</x:v>
      </x:c>
      <x:c r="B3" s="39" t="str">
        <x:v>Ideal Buyer Profile</x:v>
      </x:c>
      <x:c r="C3" s="39" t="str">
        <x:v>Top Titles</x:v>
      </x:c>
      <x:c r="D3" s="39" t="str">
        <x:v>Best Countries</x:v>
      </x:c>
      <x:c r="E3" s="39" t="str">
        <x:v>Primary Angle</x:v>
      </x:c>
      <x:c r="F3" s="39" t="str">
        <x:v>Enrichment Priority</x:v>
      </x:c>
      <x:c r="G3" s="39" t="str">
        <x:v>Follow-up Rhythm</x:v>
      </x:c>
    </x:row>
    <x:row r="4" ht="48.828125" hidden="0" customHeight="1">
      <x:c r="A4" s="51" t="str">
        <x:v>Textile</x:v>
      </x:c>
      <x:c r="B4" s="51" t="str">
        <x:v>Retail groups, importers, sourcing offices, apparel buyers, workwear buyers</x:v>
      </x:c>
      <x:c r="C4" s="51" t="str">
        <x:v>Head of Sourcing; Procurement Manager; Buying Manager; Category Manager; Commercial Director</x:v>
      </x:c>
      <x:c r="D4" s="51" t="str">
        <x:v>Poland, Romania, UAE, Saudi</x:v>
      </x:c>
      <x:c r="E4" s="51" t="str">
        <x:v>Category fit + reliable sourcing + price/lead-time discipline</x:v>
      </x:c>
      <x:c r="F4" s="51" t="str">
        <x:v>Accepted connections, top accounts, missing off-platform contact</x:v>
      </x:c>
      <x:c r="G4" s="51" t="str">
        <x:v>Touch 1 intro; Touch 2 capability fit; Touch 3 sample/call; Touch 4 soft close</x:v>
      </x:c>
    </x:row>
    <x:row r="5" ht="48.828125" hidden="0" customHeight="1">
      <x:c r="A5" s="51" t="str">
        <x:v>FMCG</x:v>
      </x:c>
      <x:c r="B5" s="51" t="str">
        <x:v>Importers, distributors, wholesalers, ethnic retail chains, HoReCa suppliers</x:v>
      </x:c>
      <x:c r="C5" s="51" t="str">
        <x:v>Import Manager; Head of Procurement; Category Manager; Purchasing Manager; Commercial Director</x:v>
      </x:c>
      <x:c r="D5" s="51" t="str">
        <x:v>Sweden, Poland, UAE, Saudi, Oman</x:v>
      </x:c>
      <x:c r="E5" s="51" t="str">
        <x:v>Distribution partnership + category expansion + halal/ethnic fit</x:v>
      </x:c>
      <x:c r="F5" s="51" t="str">
        <x:v>High-fit buyers, accepted leads, top distributors</x:v>
      </x:c>
      <x:c r="G5" s="51" t="str">
        <x:v>Touch 1 relevance; Touch 2 category angle; Touch 3 supply/call angle; Touch 4 final useful nudge</x:v>
      </x:c>
    </x:row>
    <x:row r="6" ht="48.828125" hidden="0" customHeight="1">
      <x:c r="A6" s="51" t="str">
        <x:v>HR</x:v>
      </x:c>
      <x:c r="B6" s="51" t="str">
        <x:v>Founders, HR directors, talent heads, staffing buyers, people leaders</x:v>
      </x:c>
      <x:c r="C6" s="51" t="str">
        <x:v>HR Director; Talent Acquisition Head; Recruitment Manager; People Director; Founder/COO</x:v>
      </x:c>
      <x:c r="D6" s="51" t="str">
        <x:v>UAE, Saudi, Poland, Germany</x:v>
      </x:c>
      <x:c r="E6" s="51" t="str">
        <x:v>Hiring speed, candidate access, offshore / partner support</x:v>
      </x:c>
      <x:c r="F6" s="51" t="str">
        <x:v>Only warm/high-fit leads; use Apollo late</x:v>
      </x:c>
      <x:c r="G6" s="51" t="str">
        <x:v>Touch 1 intro; Touch 2 problem/solution; Touch 3 case/use-case; Touch 4 call request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0" hidden="0" customWidth="1"/>
    <x:col min="5" max="5" width="24" hidden="0" customWidth="1"/>
    <x:col min="6" max="6" width="22" hidden="0" customWidth="1"/>
    <x:col min="7" max="7" width="22" hidden="0" customWidth="1"/>
  </x:cols>
  <x:sheetData>
    <x:row r="1" ht="24" customHeight="1">
      <x:c r="A1" s="5" t="str">
        <x:v>Supplier Stack Strategy</x:v>
      </x:c>
      <x:c r="B1" s="5" t="str"/>
      <x:c r="C1" s="5" t="str"/>
      <x:c r="D1" s="5" t="str"/>
      <x:c r="E1" s="5" t="str"/>
      <x:c r="F1" s="5" t="str"/>
      <x:c r="G1" s="5" t="str"/>
    </x:row>
    <x:row r="3" ht="15" hidden="0" customHeight="1">
      <x:c r="A3" s="17" t="str">
        <x:v>Vertical</x:v>
      </x:c>
      <x:c r="B3" s="17" t="str">
        <x:v>Ideal Supplier Profile</x:v>
      </x:c>
      <x:c r="C3" s="17" t="str">
        <x:v>Top Titles</x:v>
      </x:c>
      <x:c r="D3" s="17" t="str">
        <x:v>Best Countries</x:v>
      </x:c>
      <x:c r="E3" s="17" t="str">
        <x:v>Primary Angle</x:v>
      </x:c>
      <x:c r="F3" s="17" t="str">
        <x:v>Enrichment Priority</x:v>
      </x:c>
      <x:c r="G3" s="17" t="str">
        <x:v>Follow-up Rhythm</x:v>
      </x:c>
    </x:row>
    <x:row r="4" ht="48.828125" hidden="0" customHeight="1">
      <x:c r="A4" s="28" t="str">
        <x:v>Textile</x:v>
      </x:c>
      <x:c r="B4" s="28" t="str">
        <x:v>Mills, garment factories, home textile manufacturers, trims/accessories suppliers</x:v>
      </x:c>
      <x:c r="C4" s="28" t="str">
        <x:v>Export Manager; Business Development Manager; Factory Director; Merchandising Manager</x:v>
      </x:c>
      <x:c r="D4" s="28" t="str">
        <x:v>Pakistan, Bangladesh, UAE, India selective</x:v>
      </x:c>
      <x:c r="E4" s="28" t="str">
        <x:v>Market access + export readiness + category/channel fit</x:v>
      </x:c>
      <x:c r="F4" s="28" t="str">
        <x:v>Export-ready suppliers with strong websites and capacity</x:v>
      </x:c>
      <x:c r="G4" s="28" t="str">
        <x:v>Touch 1 intro; Touch 2 capability; Touch 3 compliance/MOQ; Touch 4 market-fit call</x:v>
      </x:c>
    </x:row>
    <x:row r="5" ht="48.828125" hidden="0" customHeight="1">
      <x:c r="A5" s="28" t="str">
        <x:v>FMCG</x:v>
      </x:c>
      <x:c r="B5" s="28" t="str">
        <x:v>Processors, exporters, private-label factories, packaged food manufacturers</x:v>
      </x:c>
      <x:c r="C5" s="28" t="str">
        <x:v>Export Sales Manager; International Business Manager; Commercial Manager; Owner/Director</x:v>
      </x:c>
      <x:c r="D5" s="28" t="str">
        <x:v>Pakistan, UAE, Saudi, Oman</x:v>
      </x:c>
      <x:c r="E5" s="28" t="str">
        <x:v>Distribution channels + private label + market access</x:v>
      </x:c>
      <x:c r="F5" s="28" t="str">
        <x:v>Only suppliers with real product relevance and export readiness</x:v>
      </x:c>
      <x:c r="G5" s="28" t="str">
        <x:v>Touch 1 intro; Touch 2 product range; Touch 3 certifications/capacity; Touch 4 call/catalog</x:v>
      </x:c>
    </x:row>
    <x:row r="6" ht="48.828125" hidden="0" customHeight="1">
      <x:c r="A6" s="28" t="str">
        <x:v>HR</x:v>
      </x:c>
      <x:c r="B6" s="28" t="str">
        <x:v>Recruitment agencies, delivery partners, offshore sourcing firms, HR tech partners</x:v>
      </x:c>
      <x:c r="C6" s="28" t="str">
        <x:v>Agency Founder; Delivery Head; Talent Partner; Recruitment Lead; Account Director</x:v>
      </x:c>
      <x:c r="D6" s="28" t="str">
        <x:v>Pakistan, UAE, Poland</x:v>
      </x:c>
      <x:c r="E6" s="28" t="str">
        <x:v>Partnership + delivery support + niche sourcing</x:v>
      </x:c>
      <x:c r="F6" s="28" t="str">
        <x:v>Selective and low-volume; quality over quantity</x:v>
      </x:c>
      <x:c r="G6" s="28" t="str">
        <x:v>Touch 1 intro; Touch 2 niche capability; Touch 3 partnership logic; Touch 4 meeting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30" hidden="0" customWidth="1"/>
    <x:col min="4" max="4" width="26" hidden="0" customWidth="1"/>
    <x:col min="5" max="5" width="16" hidden="0" customWidth="1"/>
    <x:col min="6" max="6" width="20" hidden="0" customWidth="1"/>
  </x:cols>
  <x:sheetData>
    <x:row r="1" ht="24" customHeight="1">
      <x:c r="A1" s="5" t="str">
        <x:v>Apollo Credit Strategy</x:v>
      </x:c>
      <x:c r="B1" s="5" t="str"/>
      <x:c r="C1" s="5" t="str"/>
      <x:c r="D1" s="5" t="str"/>
      <x:c r="E1" s="5" t="str"/>
      <x:c r="F1" s="5" t="str"/>
    </x:row>
    <x:row r="3" ht="15" hidden="0" customHeight="1">
      <x:c r="A3" s="39" t="str">
        <x:v>Priority Bucket</x:v>
      </x:c>
      <x:c r="B3" s="39" t="str">
        <x:v>Use Apollo?</x:v>
      </x:c>
      <x:c r="C3" s="39" t="str">
        <x:v>What qualifies</x:v>
      </x:c>
      <x:c r="D3" s="39" t="str">
        <x:v>What to avoid</x:v>
      </x:c>
      <x:c r="E3" s="39" t="str">
        <x:v>Daily Credit Band</x:v>
      </x:c>
      <x:c r="F3" s="39" t="str">
        <x:v>Notes</x:v>
      </x:c>
    </x:row>
    <x:row r="4" ht="24.4140625" hidden="0" customHeight="1">
      <x:c r="A4" s="63" t="str">
        <x:v>Accepted connection + strong fit</x:v>
      </x:c>
      <x:c r="B4" s="63" t="str">
        <x:v>Yes</x:v>
      </x:c>
      <x:c r="C4" s="63" t="str">
        <x:v>Decision-maker identified, account relevant, next touch likely off-LinkedIn</x:v>
      </x:c>
      <x:c r="D4" s="63" t="str">
        <x:v>Do not enrich before account fit is validated</x:v>
      </x:c>
      <x:c r="E4" s="63" t="str">
        <x:v>High priority 5–8/day</x:v>
      </x:c>
      <x:c r="F4" s="63" t="str">
        <x:v>Best ROI for credit usage</x:v>
      </x:c>
    </x:row>
    <x:row r="5" ht="24.4140625" hidden="0" customHeight="1">
      <x:c r="A5" s="63" t="str">
        <x:v>High-fit target account, no email</x:v>
      </x:c>
      <x:c r="B5" s="63" t="str">
        <x:v>Yes</x:v>
      </x:c>
      <x:c r="C5" s="63" t="str">
        <x:v>Good title, good company, off-platform contact needed</x:v>
      </x:c>
      <x:c r="D5" s="63" t="str">
        <x:v>No enrichment on vague company pages</x:v>
      </x:c>
      <x:c r="E5" s="63" t="str">
        <x:v>3–5/day</x:v>
      </x:c>
      <x:c r="F5" s="63" t="str">
        <x:v>Useful for conversion</x:v>
      </x:c>
    </x:row>
    <x:row r="6" ht="24.4140625" hidden="0" customHeight="1">
      <x:c r="A6" s="63" t="str">
        <x:v>Medium-fit exploratory lead</x:v>
      </x:c>
      <x:c r="B6" s="63" t="str">
        <x:v>Sometimes</x:v>
      </x:c>
      <x:c r="C6" s="63" t="str">
        <x:v>Only if category/country fit is meaningful</x:v>
      </x:c>
      <x:c r="D6" s="63" t="str">
        <x:v>Skip if website weak or role generic</x:v>
      </x:c>
      <x:c r="E6" s="63" t="str">
        <x:v>2–4/day</x:v>
      </x:c>
      <x:c r="F6" s="63" t="str">
        <x:v>LinkedIn-only often enough first</x:v>
      </x:c>
    </x:row>
    <x:row r="7" ht="24.4140625" hidden="0" customHeight="1">
      <x:c r="A7" s="63" t="str">
        <x:v>Weak / unclear / directory lead</x:v>
      </x:c>
      <x:c r="B7" s="63" t="str">
        <x:v>No</x:v>
      </x:c>
      <x:c r="C7" s="63" t="str">
        <x:v>None</x:v>
      </x:c>
      <x:c r="D7" s="63" t="str">
        <x:v>Directories, unclear firms, duplicates, inactive companies</x:v>
      </x:c>
      <x:c r="E7" s="63" t="str">
        <x:v>0</x:v>
      </x:c>
      <x:c r="F7" s="63" t="str">
        <x:v>Do not waste credits</x:v>
      </x:c>
    </x:row>
    <x:row r="8" ht="24.4140625" hidden="0" customHeight="1">
      <x:c r="A8" s="63" t="str">
        <x:v>Warm reply / meeting candidate</x:v>
      </x:c>
      <x:c r="B8" s="63" t="str">
        <x:v>Yes</x:v>
      </x:c>
      <x:c r="C8" s="63" t="str">
        <x:v>Someone replied or showed intent</x:v>
      </x:c>
      <x:c r="D8" s="63" t="str">
        <x:v>None unless duplicate</x:v>
      </x:c>
      <x:c r="E8" s="63" t="str">
        <x:v>2–3/day</x:v>
      </x:c>
      <x:c r="F8" s="63" t="str">
        <x:v>Speed matters here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4" hidden="0" customWidth="1"/>
  </x:cols>
  <x:sheetData>
    <x:row r="1" ht="24" customHeight="1">
      <x:c r="A1" s="5" t="str">
        <x:v>Lead Funnel and KPI Template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3" ht="15" hidden="0" customHeight="1">
      <x:c r="A3" s="17" t="str">
        <x:v>Stage</x:v>
      </x:c>
      <x:c r="B3" s="17" t="str">
        <x:v>Definition</x:v>
      </x:c>
      <x:c r="C3" s="17" t="str">
        <x:v>Target / Day</x:v>
      </x:c>
      <x:c r="D3" s="17" t="str">
        <x:v>Actual</x:v>
      </x:c>
      <x:c r="E3" s="17" t="str">
        <x:v>Variance</x:v>
      </x:c>
      <x:c r="F3" s="17" t="str">
        <x:v>Notes</x:v>
      </x:c>
      <x:c r="G3" s="17" t="str">
        <x:v>Owner</x:v>
      </x:c>
      <x:c r="H3" s="17" t="str">
        <x:v>Status</x:v>
      </x:c>
    </x:row>
    <x:row r="4" ht="24.4140625" hidden="0" customHeight="1">
      <x:c r="A4" s="28" t="str">
        <x:v>Searched</x:v>
      </x:c>
      <x:c r="B4" s="28" t="str">
        <x:v>Raw prospects reviewed</x:v>
      </x:c>
      <x:c r="C4" s="28" t="str">
        <x:v>60</x:v>
      </x:c>
      <x:c r="D4" s="28" t="str"/>
      <x:c r="E4" s="28" t="str">
        <x:f>IF(D4="","",D4-C4)</x:f>
      </x:c>
      <x:c r="F4" s="28" t="str">
        <x:v>Searches from Sales Navigator + LinkedIn</x:v>
      </x:c>
      <x:c r="G4" s="28" t="str">
        <x:v>Operator</x:v>
      </x:c>
      <x:c r="H4" s="28" t="str"/>
    </x:row>
    <x:row r="5" ht="24.4140625" hidden="0" customHeight="1">
      <x:c r="A5" s="28" t="str">
        <x:v>Shortlisted</x:v>
      </x:c>
      <x:c r="B5" s="28" t="str">
        <x:v>Prospects meeting basic fit</x:v>
      </x:c>
      <x:c r="C5" s="28" t="str">
        <x:v>20</x:v>
      </x:c>
      <x:c r="D5" s="28" t="str"/>
      <x:c r="E5" s="28" t="str">
        <x:f>IF(D5="","",D5-C5)</x:f>
      </x:c>
      <x:c r="F5" s="28" t="str">
        <x:v>Only high/medium fit move forward</x:v>
      </x:c>
      <x:c r="G5" s="28" t="str">
        <x:v>Operator</x:v>
      </x:c>
      <x:c r="H5" s="28" t="str"/>
    </x:row>
    <x:row r="6" ht="24.4140625" hidden="0" customHeight="1">
      <x:c r="A6" s="28" t="str">
        <x:v>Connected</x:v>
      </x:c>
      <x:c r="B6" s="28" t="str">
        <x:v>Connection requests sent</x:v>
      </x:c>
      <x:c r="C6" s="28" t="str">
        <x:v>10</x:v>
      </x:c>
      <x:c r="D6" s="28" t="str"/>
      <x:c r="E6" s="28" t="str">
        <x:f>IF(D6="","",D6-C6)</x:f>
      </x:c>
      <x:c r="F6" s="28" t="str">
        <x:v>Spread across countries/titles</x:v>
      </x:c>
      <x:c r="G6" s="28" t="str">
        <x:v>Operator</x:v>
      </x:c>
      <x:c r="H6" s="28" t="str"/>
    </x:row>
    <x:row r="7" ht="15" hidden="0" customHeight="1">
      <x:c r="A7" s="28" t="str">
        <x:v>Messaged</x:v>
      </x:c>
      <x:c r="B7" s="28" t="str">
        <x:v>Outbound messages sent</x:v>
      </x:c>
      <x:c r="C7" s="28" t="str">
        <x:v>20</x:v>
      </x:c>
      <x:c r="D7" s="28" t="str"/>
      <x:c r="E7" s="28" t="str">
        <x:f>IF(D7="","",D7-C7)</x:f>
      </x:c>
      <x:c r="F7" s="28" t="str">
        <x:v>20/day target</x:v>
      </x:c>
      <x:c r="G7" s="28" t="str">
        <x:v>Operator</x:v>
      </x:c>
      <x:c r="H7" s="28" t="str"/>
    </x:row>
    <x:row r="8" ht="15" hidden="0" customHeight="1">
      <x:c r="A8" s="28" t="str">
        <x:v>Replied</x:v>
      </x:c>
      <x:c r="B8" s="28" t="str">
        <x:v>Any reply received</x:v>
      </x:c>
      <x:c r="C8" s="28" t="str">
        <x:v>3</x:v>
      </x:c>
      <x:c r="D8" s="28" t="str"/>
      <x:c r="E8" s="28" t="str">
        <x:f>IF(D8="","",D8-C8)</x:f>
      </x:c>
      <x:c r="F8" s="28" t="str">
        <x:v>Track all replies</x:v>
      </x:c>
      <x:c r="G8" s="28" t="str">
        <x:v>Operator</x:v>
      </x:c>
      <x:c r="H8" s="28" t="str"/>
    </x:row>
    <x:row r="9" ht="15" hidden="0" customHeight="1">
      <x:c r="A9" s="28" t="str">
        <x:v>Positive replies</x:v>
      </x:c>
      <x:c r="B9" s="28" t="str">
        <x:v>Reply with commercial value</x:v>
      </x:c>
      <x:c r="C9" s="28" t="str">
        <x:v>1</x:v>
      </x:c>
      <x:c r="D9" s="28" t="str"/>
      <x:c r="E9" s="28" t="str">
        <x:f>IF(D9="","",D9-C9)</x:f>
      </x:c>
      <x:c r="F9" s="28" t="str">
        <x:v>Use as quality KPI</x:v>
      </x:c>
      <x:c r="G9" s="28" t="str">
        <x:v>Operator</x:v>
      </x:c>
      <x:c r="H9" s="28" t="str"/>
    </x:row>
    <x:row r="10" ht="15" hidden="0" customHeight="1">
      <x:c r="A10" s="28" t="str">
        <x:v>Apollo credits used</x:v>
      </x:c>
      <x:c r="B10" s="28" t="str">
        <x:v>Leads enriched</x:v>
      </x:c>
      <x:c r="C10" s="28" t="str">
        <x:v>10</x:v>
      </x:c>
      <x:c r="D10" s="28" t="str"/>
      <x:c r="E10" s="28" t="str">
        <x:f>IF(D10="","",D10-C10)</x:f>
      </x:c>
      <x:c r="F10" s="28" t="str">
        <x:v>Keep controlled</x:v>
      </x:c>
      <x:c r="G10" s="28" t="str">
        <x:v>Operator</x:v>
      </x:c>
      <x:c r="H10" s="28" t="str"/>
    </x:row>
    <x:row r="11" ht="15" hidden="0" customHeight="1">
      <x:c r="A11" s="28" t="str">
        <x:v>Qualified leads</x:v>
      </x:c>
      <x:c r="B11" s="28" t="str">
        <x:v>Real fit established</x:v>
      </x:c>
      <x:c r="C11" s="28" t="str">
        <x:v>2</x:v>
      </x:c>
      <x:c r="D11" s="28" t="str"/>
      <x:c r="E11" s="28" t="str">
        <x:f>IF(D11="","",D11-C11)</x:f>
      </x:c>
      <x:c r="F11" s="28" t="str">
        <x:v>Buyer or supplier</x:v>
      </x:c>
      <x:c r="G11" s="28" t="str">
        <x:v>Operator</x:v>
      </x:c>
      <x:c r="H11" s="28" t="str"/>
    </x:row>
    <x:row r="12" ht="24.4140625" hidden="0" customHeight="1">
      <x:c r="A12" s="28" t="str">
        <x:v>Meetings booked</x:v>
      </x:c>
      <x:c r="B12" s="28" t="str">
        <x:v>Call/meeting confirmed</x:v>
      </x:c>
      <x:c r="C12" s="28" t="str">
        <x:v>0.5</x:v>
      </x:c>
      <x:c r="D12" s="28" t="str"/>
      <x:c r="E12" s="28" t="str">
        <x:f>IF(D12="","",D12-C12)</x:f>
      </x:c>
      <x:c r="F12" s="28" t="str">
        <x:v>Tracked daily and weekly</x:v>
      </x:c>
      <x:c r="G12" s="28" t="str">
        <x:v>Operator</x:v>
      </x:c>
      <x:c r="H12" s="28" t="str"/>
    </x:row>
  </x:sheetData>
  <x:dataValidations count="1">
    <x:dataValidation type="list" allowBlank="1" showDropDown="0" sqref="H4:H12">
      <x:formula1>"Open,On Track,Watch,Blocked,Done"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0" hidden="0" customWidth="1"/>
    <x:col min="8" max="8" width="10" hidden="0" customWidth="1"/>
    <x:col min="9" max="9" width="10" hidden="0" customWidth="1"/>
    <x:col min="10" max="10" width="11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8" hidden="0" customWidth="1"/>
    <x:col min="17" max="17" width="22" hidden="0" customWidth="1"/>
    <x:col min="18" max="18" width="20" hidden="0" customWidth="1"/>
    <x:col min="19" max="19" width="12" hidden="0" customWidth="1"/>
  </x:cols>
  <x:sheetData>
    <x:row r="1" ht="24" customHeight="1">
      <x:c r="A1" s="5" t="str">
        <x:v>30-Day Action Table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</x:row>
    <x:row r="3" ht="15" hidden="0" customHeight="1">
      <x:c r="A3" s="17" t="str">
        <x:v>Day</x:v>
      </x:c>
      <x:c r="B3" s="17" t="str">
        <x:v>Week</x:v>
      </x:c>
      <x:c r="C3" s="17" t="str">
        <x:v>Day Name</x:v>
      </x:c>
      <x:c r="D3" s="17" t="str">
        <x:v>Primary Focus</x:v>
      </x:c>
      <x:c r="E3" s="17" t="str">
        <x:v>Countries</x:v>
      </x:c>
      <x:c r="F3" s="17" t="str">
        <x:v>Vertical</x:v>
      </x:c>
      <x:c r="G3" s="17" t="str">
        <x:v>Buyer %</x:v>
      </x:c>
      <x:c r="H3" s="17" t="str">
        <x:v>Supplier %</x:v>
      </x:c>
      <x:c r="I3" s="17" t="str">
        <x:v>Searches</x:v>
      </x:c>
      <x:c r="J3" s="17" t="str">
        <x:v>Shortlisted</x:v>
      </x:c>
      <x:c r="K3" s="17" t="str">
        <x:v>Connect Req</x:v>
      </x:c>
      <x:c r="L3" s="17" t="str">
        <x:v>Messages</x:v>
      </x:c>
      <x:c r="M3" s="17" t="str">
        <x:v>Apollo</x:v>
      </x:c>
      <x:c r="N3" s="17" t="str">
        <x:v>Follow-up</x:v>
      </x:c>
      <x:c r="O3" s="17" t="str">
        <x:v>Expected Output</x:v>
      </x:c>
      <x:c r="Q3" s="39" t="str">
        <x:v>Summary Metric</x:v>
      </x:c>
      <x:c r="R3" s="39" t="str">
        <x:v>Formula</x:v>
      </x:c>
      <x:c r="S3" s="39" t="str">
        <x:v>Value</x:v>
      </x:c>
    </x:row>
    <x:row r="4" ht="15" hidden="0" customHeight="1">
      <x:c r="A4" s="28" t="n">
        <x:v>1</x:v>
      </x:c>
      <x:c r="B4" s="28" t="n">
        <x:v>1</x:v>
      </x:c>
      <x:c r="C4" s="28" t="str">
        <x:v>Mon</x:v>
      </x:c>
      <x:c r="D4" s="28" t="str">
        <x:v>Search + shortlist</x:v>
      </x:c>
      <x:c r="E4" s="28" t="str">
        <x:v>Poland/UAE</x:v>
      </x:c>
      <x:c r="F4" s="28" t="str">
        <x:v>FMCG + Textile</x:v>
      </x:c>
      <x:c r="G4" s="70" t="n">
        <x:v>0.65</x:v>
      </x:c>
      <x:c r="H4" s="70" t="n">
        <x:v>0.35</x:v>
      </x:c>
      <x:c r="I4" s="28" t="n">
        <x:v>70</x:v>
      </x:c>
      <x:c r="J4" s="28" t="n">
        <x:v>25</x:v>
      </x:c>
      <x:c r="K4" s="28" t="n">
        <x:v>10</x:v>
      </x:c>
      <x:c r="L4" s="28" t="n">
        <x:v>10</x:v>
      </x:c>
      <x:c r="M4" s="28" t="n">
        <x:v>5</x:v>
      </x:c>
      <x:c r="N4" s="28" t="n">
        <x:v>3</x:v>
      </x:c>
      <x:c r="O4" s="28" t="str">
        <x:v>Build clean shortlist</x:v>
      </x:c>
      <x:c r="Q4" s="51" t="str">
        <x:v>Total planned messages</x:v>
      </x:c>
      <x:c r="R4" s="51" t="n">
        <x:f>SUM(L4:L33)</x:f>
        <x:v>428</x:v>
      </x:c>
      <x:c r="S4" s="51" t="n">
        <x:f>SUM(L4:L33)</x:f>
        <x:v>428</x:v>
      </x:c>
    </x:row>
    <x:row r="5" ht="24.4140625" hidden="0" customHeight="1">
      <x:c r="A5" s="28" t="n">
        <x:v>2</x:v>
      </x:c>
      <x:c r="B5" s="28" t="n">
        <x:v>1</x:v>
      </x:c>
      <x:c r="C5" s="28" t="str">
        <x:v>Tue</x:v>
      </x:c>
      <x:c r="D5" s="28" t="str">
        <x:v>Search + connect + enrich</x:v>
      </x:c>
      <x:c r="E5" s="28" t="str">
        <x:v>Sweden/Saudi</x:v>
      </x:c>
      <x:c r="F5" s="28" t="str">
        <x:v>FMCG + Textile</x:v>
      </x:c>
      <x:c r="G5" s="70" t="n">
        <x:v>0.65</x:v>
      </x:c>
      <x:c r="H5" s="70" t="n">
        <x:v>0.35</x:v>
      </x:c>
      <x:c r="I5" s="28" t="n">
        <x:v>60</x:v>
      </x:c>
      <x:c r="J5" s="28" t="n">
        <x:v>20</x:v>
      </x:c>
      <x:c r="K5" s="28" t="n">
        <x:v>15</x:v>
      </x:c>
      <x:c r="L5" s="28" t="n">
        <x:v>10</x:v>
      </x:c>
      <x:c r="M5" s="28" t="n">
        <x:v>9</x:v>
      </x:c>
      <x:c r="N5" s="28" t="n">
        <x:v>5</x:v>
      </x:c>
      <x:c r="O5" s="28" t="str">
        <x:v>Connection queue ready</x:v>
      </x:c>
      <x:c r="Q5" s="51" t="str">
        <x:v>Total planned Apollo enrichments</x:v>
      </x:c>
      <x:c r="R5" s="51" t="n">
        <x:f>SUM(M4:M33)</x:f>
        <x:v>202</x:v>
      </x:c>
      <x:c r="S5" s="51" t="n">
        <x:f>SUM(M4:M33)</x:f>
        <x:v>202</x:v>
      </x:c>
    </x:row>
    <x:row r="6" ht="24.4140625" hidden="0" customHeight="1">
      <x:c r="A6" s="28" t="n">
        <x:v>3</x:v>
      </x:c>
      <x:c r="B6" s="28" t="n">
        <x:v>1</x:v>
      </x:c>
      <x:c r="C6" s="28" t="str">
        <x:v>Wed</x:v>
      </x:c>
      <x:c r="D6" s="28" t="str">
        <x:v>First outreach push</x:v>
      </x:c>
      <x:c r="E6" s="28" t="str">
        <x:v>Poland/UAE</x:v>
      </x:c>
      <x:c r="F6" s="28" t="str">
        <x:v>FMCG + Textile</x:v>
      </x:c>
      <x:c r="G6" s="70" t="n">
        <x:v>0.65</x:v>
      </x:c>
      <x:c r="H6" s="70" t="n">
        <x:v>0.35</x:v>
      </x:c>
      <x:c r="I6" s="28" t="n">
        <x:v>45</x:v>
      </x:c>
      <x:c r="J6" s="28" t="n">
        <x:v>15</x:v>
      </x:c>
      <x:c r="K6" s="28" t="n">
        <x:v>10</x:v>
      </x:c>
      <x:c r="L6" s="28" t="n">
        <x:v>20</x:v>
      </x:c>
      <x:c r="M6" s="28" t="n">
        <x:v>10</x:v>
      </x:c>
      <x:c r="N6" s="28" t="n">
        <x:v>5</x:v>
      </x:c>
      <x:c r="O6" s="28" t="str">
        <x:v>Replies begin</x:v>
      </x:c>
      <x:c r="Q6" s="51" t="str">
        <x:v>Total planned connection requests</x:v>
      </x:c>
      <x:c r="R6" s="51" t="n">
        <x:f>SUM(K4:K33)</x:f>
        <x:v>256</x:v>
      </x:c>
      <x:c r="S6" s="51" t="n">
        <x:f>SUM(K4:K33)</x:f>
        <x:v>256</x:v>
      </x:c>
    </x:row>
    <x:row r="7" ht="15" hidden="0" customHeight="1">
      <x:c r="A7" s="28" t="n">
        <x:v>4</x:v>
      </x:c>
      <x:c r="B7" s="28" t="n">
        <x:v>1</x:v>
      </x:c>
      <x:c r="C7" s="28" t="str">
        <x:v>Thu</x:v>
      </x:c>
      <x:c r="D7" s="28" t="str">
        <x:v>Rotation + qualification</x:v>
      </x:c>
      <x:c r="E7" s="28" t="str">
        <x:v>Sweden/Saudi</x:v>
      </x:c>
      <x:c r="F7" s="28" t="str">
        <x:v>Textile + FMCG</x:v>
      </x:c>
      <x:c r="G7" s="70" t="n">
        <x:v>0.65</x:v>
      </x:c>
      <x:c r="H7" s="70" t="n">
        <x:v>0.35</x:v>
      </x:c>
      <x:c r="I7" s="28" t="n">
        <x:v>40</x:v>
      </x:c>
      <x:c r="J7" s="28" t="n">
        <x:v>15</x:v>
      </x:c>
      <x:c r="K7" s="28" t="n">
        <x:v>10</x:v>
      </x:c>
      <x:c r="L7" s="28" t="n">
        <x:v>12</x:v>
      </x:c>
      <x:c r="M7" s="28" t="n">
        <x:v>8</x:v>
      </x:c>
      <x:c r="N7" s="28" t="n">
        <x:v>9</x:v>
      </x:c>
      <x:c r="O7" s="28" t="str">
        <x:v>Lead quality improves</x:v>
      </x:c>
      <x:c r="Q7" s="51" t="str">
        <x:v>Total planned searches</x:v>
      </x:c>
      <x:c r="R7" s="51" t="n">
        <x:f>SUM(I4:I33)</x:f>
        <x:v>1257</x:v>
      </x:c>
      <x:c r="S7" s="51" t="n">
        <x:f>SUM(I4:I33)</x:f>
        <x:v>1257</x:v>
      </x:c>
    </x:row>
    <x:row r="8" ht="15" hidden="0" customHeight="1">
      <x:c r="A8" s="28" t="n">
        <x:v>5</x:v>
      </x:c>
      <x:c r="B8" s="28" t="n">
        <x:v>1</x:v>
      </x:c>
      <x:c r="C8" s="28" t="str">
        <x:v>Fri</x:v>
      </x:c>
      <x:c r="D8" s="28" t="str">
        <x:v>Supplier emphasis</x:v>
      </x:c>
      <x:c r="E8" s="28" t="str">
        <x:v>Poland/UAE</x:v>
      </x:c>
      <x:c r="F8" s="28" t="str">
        <x:v>Textile + FMCG</x:v>
      </x:c>
      <x:c r="G8" s="70" t="n">
        <x:v>0.65</x:v>
      </x:c>
      <x:c r="H8" s="70" t="n">
        <x:v>0.35</x:v>
      </x:c>
      <x:c r="I8" s="28" t="n">
        <x:v>50</x:v>
      </x:c>
      <x:c r="J8" s="28" t="n">
        <x:v>20</x:v>
      </x:c>
      <x:c r="K8" s="28" t="n">
        <x:v>10</x:v>
      </x:c>
      <x:c r="L8" s="28" t="n">
        <x:v>20</x:v>
      </x:c>
      <x:c r="M8" s="28" t="n">
        <x:v>10</x:v>
      </x:c>
      <x:c r="N8" s="28" t="n">
        <x:v>8</x:v>
      </x:c>
      <x:c r="O8" s="28" t="str">
        <x:v>Supplier depth</x:v>
      </x:c>
    </x:row>
    <x:row r="9" ht="24.4140625" hidden="0" customHeight="1">
      <x:c r="A9" s="28" t="n">
        <x:v>6</x:v>
      </x:c>
      <x:c r="B9" s="28" t="n">
        <x:v>1</x:v>
      </x:c>
      <x:c r="C9" s="28" t="str">
        <x:v>Sat</x:v>
      </x:c>
      <x:c r="D9" s="28" t="str">
        <x:v>Conversion + cleanup</x:v>
      </x:c>
      <x:c r="E9" s="28" t="str">
        <x:v>Romania/Oman</x:v>
      </x:c>
      <x:c r="F9" s="28" t="str">
        <x:v>Supplier Textile/FMCG</x:v>
      </x:c>
      <x:c r="G9" s="70" t="n">
        <x:v>0.65</x:v>
      </x:c>
      <x:c r="H9" s="70" t="n">
        <x:v>0.35</x:v>
      </x:c>
      <x:c r="I9" s="28" t="n">
        <x:v>28</x:v>
      </x:c>
      <x:c r="J9" s="28" t="n">
        <x:v>10</x:v>
      </x:c>
      <x:c r="K9" s="28" t="n">
        <x:v>5</x:v>
      </x:c>
      <x:c r="L9" s="28" t="n">
        <x:v>10</x:v>
      </x:c>
      <x:c r="M9" s="28" t="n">
        <x:v>5</x:v>
      </x:c>
      <x:c r="N9" s="28" t="n">
        <x:v>15</x:v>
      </x:c>
      <x:c r="O9" s="28" t="str">
        <x:v>Meetings / CRM hygiene</x:v>
      </x:c>
    </x:row>
    <x:row r="10" ht="24.4140625" hidden="0" customHeight="1">
      <x:c r="A10" s="28" t="n">
        <x:v>7</x:v>
      </x:c>
      <x:c r="B10" s="28" t="n">
        <x:v>1</x:v>
      </x:c>
      <x:c r="C10" s="28" t="str">
        <x:v>Sun</x:v>
      </x:c>
      <x:c r="D10" s="28" t="str">
        <x:v>Review / light day</x:v>
      </x:c>
      <x:c r="E10" s="28" t="str">
        <x:v>Review/Light</x:v>
      </x:c>
      <x:c r="F10" s="28" t="str">
        <x:v>Review</x:v>
      </x:c>
      <x:c r="G10" s="70" t="n">
        <x:v>0.65</x:v>
      </x:c>
      <x:c r="H10" s="70" t="n">
        <x:v>0.35</x:v>
      </x:c>
      <x:c r="I10" s="28" t="n">
        <x:v>15</x:v>
      </x:c>
      <x:c r="J10" s="28" t="n">
        <x:v>5</x:v>
      </x:c>
      <x:c r="K10" s="28" t="n">
        <x:v>3</x:v>
      </x:c>
      <x:c r="L10" s="28" t="n">
        <x:v>8</x:v>
      </x:c>
      <x:c r="M10" s="28" t="n">
        <x:v>2</x:v>
      </x:c>
      <x:c r="N10" s="28" t="n">
        <x:v>10</x:v>
      </x:c>
      <x:c r="O10" s="28" t="str">
        <x:v>Review and prep next week</x:v>
      </x:c>
    </x:row>
    <x:row r="11" ht="15" hidden="0" customHeight="1">
      <x:c r="A11" s="28" t="n">
        <x:v>8</x:v>
      </x:c>
      <x:c r="B11" s="28" t="n">
        <x:v>2</x:v>
      </x:c>
      <x:c r="C11" s="28" t="str">
        <x:v>Mon</x:v>
      </x:c>
      <x:c r="D11" s="28" t="str">
        <x:v>Search + shortlist</x:v>
      </x:c>
      <x:c r="E11" s="28" t="str">
        <x:v>Romania/Germany</x:v>
      </x:c>
      <x:c r="F11" s="28" t="str">
        <x:v>Textile + FMCG</x:v>
      </x:c>
      <x:c r="G11" s="70" t="n">
        <x:v>0.55</x:v>
      </x:c>
      <x:c r="H11" s="70" t="n">
        <x:v>0.45</x:v>
      </x:c>
      <x:c r="I11" s="28" t="n">
        <x:v>70</x:v>
      </x:c>
      <x:c r="J11" s="28" t="n">
        <x:v>25</x:v>
      </x:c>
      <x:c r="K11" s="28" t="n">
        <x:v>10</x:v>
      </x:c>
      <x:c r="L11" s="28" t="n">
        <x:v>10</x:v>
      </x:c>
      <x:c r="M11" s="28" t="n">
        <x:v>5</x:v>
      </x:c>
      <x:c r="N11" s="28" t="n">
        <x:v>3</x:v>
      </x:c>
      <x:c r="O11" s="28" t="str">
        <x:v>Build clean shortlist</x:v>
      </x:c>
    </x:row>
    <x:row r="12" ht="24.4140625" hidden="0" customHeight="1">
      <x:c r="A12" s="28" t="n">
        <x:v>9</x:v>
      </x:c>
      <x:c r="B12" s="28" t="n">
        <x:v>2</x:v>
      </x:c>
      <x:c r="C12" s="28" t="str">
        <x:v>Tue</x:v>
      </x:c>
      <x:c r="D12" s="28" t="str">
        <x:v>Search + connect + enrich</x:v>
      </x:c>
      <x:c r="E12" s="28" t="str">
        <x:v>Qatar/Pakistan</x:v>
      </x:c>
      <x:c r="F12" s="28" t="str">
        <x:v>Textile + FMCG</x:v>
      </x:c>
      <x:c r="G12" s="70" t="n">
        <x:v>0.55</x:v>
      </x:c>
      <x:c r="H12" s="70" t="n">
        <x:v>0.45</x:v>
      </x:c>
      <x:c r="I12" s="28" t="n">
        <x:v>60</x:v>
      </x:c>
      <x:c r="J12" s="28" t="n">
        <x:v>20</x:v>
      </x:c>
      <x:c r="K12" s="28" t="n">
        <x:v>15</x:v>
      </x:c>
      <x:c r="L12" s="28" t="n">
        <x:v>10</x:v>
      </x:c>
      <x:c r="M12" s="28" t="n">
        <x:v>9</x:v>
      </x:c>
      <x:c r="N12" s="28" t="n">
        <x:v>5</x:v>
      </x:c>
      <x:c r="O12" s="28" t="str">
        <x:v>Connection queue ready</x:v>
      </x:c>
    </x:row>
    <x:row r="13" ht="15" hidden="0" customHeight="1">
      <x:c r="A13" s="28" t="n">
        <x:v>10</x:v>
      </x:c>
      <x:c r="B13" s="28" t="n">
        <x:v>2</x:v>
      </x:c>
      <x:c r="C13" s="28" t="str">
        <x:v>Wed</x:v>
      </x:c>
      <x:c r="D13" s="28" t="str">
        <x:v>First outreach push</x:v>
      </x:c>
      <x:c r="E13" s="28" t="str">
        <x:v>Romania/Germany</x:v>
      </x:c>
      <x:c r="F13" s="28" t="str">
        <x:v>HR + FMCG</x:v>
      </x:c>
      <x:c r="G13" s="70" t="n">
        <x:v>0.55</x:v>
      </x:c>
      <x:c r="H13" s="70" t="n">
        <x:v>0.45</x:v>
      </x:c>
      <x:c r="I13" s="28" t="n">
        <x:v>45</x:v>
      </x:c>
      <x:c r="J13" s="28" t="n">
        <x:v>15</x:v>
      </x:c>
      <x:c r="K13" s="28" t="n">
        <x:v>10</x:v>
      </x:c>
      <x:c r="L13" s="28" t="n">
        <x:v>20</x:v>
      </x:c>
      <x:c r="M13" s="28" t="n">
        <x:v>10</x:v>
      </x:c>
      <x:c r="N13" s="28" t="n">
        <x:v>5</x:v>
      </x:c>
      <x:c r="O13" s="28" t="str">
        <x:v>Replies begin</x:v>
      </x:c>
    </x:row>
    <x:row r="14" ht="15" hidden="0" customHeight="1">
      <x:c r="A14" s="28" t="n">
        <x:v>11</x:v>
      </x:c>
      <x:c r="B14" s="28" t="n">
        <x:v>2</x:v>
      </x:c>
      <x:c r="C14" s="28" t="str">
        <x:v>Thu</x:v>
      </x:c>
      <x:c r="D14" s="28" t="str">
        <x:v>Rotation + qualification</x:v>
      </x:c>
      <x:c r="E14" s="28" t="str">
        <x:v>Oman/Pakistan</x:v>
      </x:c>
      <x:c r="F14" s="28" t="str">
        <x:v>Textile + HR</x:v>
      </x:c>
      <x:c r="G14" s="70" t="n">
        <x:v>0.55</x:v>
      </x:c>
      <x:c r="H14" s="70" t="n">
        <x:v>0.45</x:v>
      </x:c>
      <x:c r="I14" s="28" t="n">
        <x:v>40</x:v>
      </x:c>
      <x:c r="J14" s="28" t="n">
        <x:v>15</x:v>
      </x:c>
      <x:c r="K14" s="28" t="n">
        <x:v>10</x:v>
      </x:c>
      <x:c r="L14" s="28" t="n">
        <x:v>12</x:v>
      </x:c>
      <x:c r="M14" s="28" t="n">
        <x:v>8</x:v>
      </x:c>
      <x:c r="N14" s="28" t="n">
        <x:v>9</x:v>
      </x:c>
      <x:c r="O14" s="28" t="str">
        <x:v>Lead quality improves</x:v>
      </x:c>
    </x:row>
    <x:row r="15" ht="15" hidden="0" customHeight="1">
      <x:c r="A15" s="28" t="n">
        <x:v>12</x:v>
      </x:c>
      <x:c r="B15" s="28" t="n">
        <x:v>2</x:v>
      </x:c>
      <x:c r="C15" s="28" t="str">
        <x:v>Fri</x:v>
      </x:c>
      <x:c r="D15" s="28" t="str">
        <x:v>Supplier emphasis</x:v>
      </x:c>
      <x:c r="E15" s="28" t="str">
        <x:v>Qatar/Germany</x:v>
      </x:c>
      <x:c r="F15" s="28" t="str">
        <x:v>Supplier Textile/FMCG</x:v>
      </x:c>
      <x:c r="G15" s="70" t="n">
        <x:v>0.55</x:v>
      </x:c>
      <x:c r="H15" s="70" t="n">
        <x:v>0.45</x:v>
      </x:c>
      <x:c r="I15" s="28" t="n">
        <x:v>50</x:v>
      </x:c>
      <x:c r="J15" s="28" t="n">
        <x:v>20</x:v>
      </x:c>
      <x:c r="K15" s="28" t="n">
        <x:v>10</x:v>
      </x:c>
      <x:c r="L15" s="28" t="n">
        <x:v>20</x:v>
      </x:c>
      <x:c r="M15" s="28" t="n">
        <x:v>10</x:v>
      </x:c>
      <x:c r="N15" s="28" t="n">
        <x:v>8</x:v>
      </x:c>
      <x:c r="O15" s="28" t="str">
        <x:v>Supplier depth</x:v>
      </x:c>
    </x:row>
    <x:row r="16" ht="24.4140625" hidden="0" customHeight="1">
      <x:c r="A16" s="28" t="n">
        <x:v>13</x:v>
      </x:c>
      <x:c r="B16" s="28" t="n">
        <x:v>2</x:v>
      </x:c>
      <x:c r="C16" s="28" t="str">
        <x:v>Sat</x:v>
      </x:c>
      <x:c r="D16" s="28" t="str">
        <x:v>Conversion + cleanup</x:v>
      </x:c>
      <x:c r="E16" s="28" t="str">
        <x:v>Supplier Heavy</x:v>
      </x:c>
      <x:c r="F16" s="28" t="str">
        <x:v>Supplier + HR clean-up</x:v>
      </x:c>
      <x:c r="G16" s="70" t="n">
        <x:v>0.55</x:v>
      </x:c>
      <x:c r="H16" s="70" t="n">
        <x:v>0.45</x:v>
      </x:c>
      <x:c r="I16" s="28" t="n">
        <x:v>28</x:v>
      </x:c>
      <x:c r="J16" s="28" t="n">
        <x:v>10</x:v>
      </x:c>
      <x:c r="K16" s="28" t="n">
        <x:v>5</x:v>
      </x:c>
      <x:c r="L16" s="28" t="n">
        <x:v>10</x:v>
      </x:c>
      <x:c r="M16" s="28" t="n">
        <x:v>5</x:v>
      </x:c>
      <x:c r="N16" s="28" t="n">
        <x:v>15</x:v>
      </x:c>
      <x:c r="O16" s="28" t="str">
        <x:v>Meetings / CRM hygiene</x:v>
      </x:c>
    </x:row>
    <x:row r="17" ht="24.4140625" hidden="0" customHeight="1">
      <x:c r="A17" s="28" t="n">
        <x:v>14</x:v>
      </x:c>
      <x:c r="B17" s="28" t="n">
        <x:v>2</x:v>
      </x:c>
      <x:c r="C17" s="28" t="str">
        <x:v>Sun</x:v>
      </x:c>
      <x:c r="D17" s="28" t="str">
        <x:v>Review / light day</x:v>
      </x:c>
      <x:c r="E17" s="28" t="str">
        <x:v>Review/Light</x:v>
      </x:c>
      <x:c r="F17" s="28" t="str">
        <x:v>Review</x:v>
      </x:c>
      <x:c r="G17" s="70" t="n">
        <x:v>0.55</x:v>
      </x:c>
      <x:c r="H17" s="70" t="n">
        <x:v>0.45</x:v>
      </x:c>
      <x:c r="I17" s="28" t="n">
        <x:v>15</x:v>
      </x:c>
      <x:c r="J17" s="28" t="n">
        <x:v>5</x:v>
      </x:c>
      <x:c r="K17" s="28" t="n">
        <x:v>3</x:v>
      </x:c>
      <x:c r="L17" s="28" t="n">
        <x:v>8</x:v>
      </x:c>
      <x:c r="M17" s="28" t="n">
        <x:v>2</x:v>
      </x:c>
      <x:c r="N17" s="28" t="n">
        <x:v>10</x:v>
      </x:c>
      <x:c r="O17" s="28" t="str">
        <x:v>Review and prep next week</x:v>
      </x:c>
    </x:row>
    <x:row r="18" ht="15" hidden="0" customHeight="1">
      <x:c r="A18" s="28" t="n">
        <x:v>15</x:v>
      </x:c>
      <x:c r="B18" s="28" t="n">
        <x:v>3</x:v>
      </x:c>
      <x:c r="C18" s="28" t="str">
        <x:v>Mon</x:v>
      </x:c>
      <x:c r="D18" s="28" t="str">
        <x:v>Search + shortlist</x:v>
      </x:c>
      <x:c r="E18" s="28" t="str">
        <x:v>Poland/Sweden</x:v>
      </x:c>
      <x:c r="F18" s="28" t="str">
        <x:v>FMCG + Textile</x:v>
      </x:c>
      <x:c r="G18" s="70" t="n">
        <x:v>0.6</x:v>
      </x:c>
      <x:c r="H18" s="70" t="n">
        <x:v>0.4</x:v>
      </x:c>
      <x:c r="I18" s="28" t="n">
        <x:v>70</x:v>
      </x:c>
      <x:c r="J18" s="28" t="n">
        <x:v>25</x:v>
      </x:c>
      <x:c r="K18" s="28" t="n">
        <x:v>10</x:v>
      </x:c>
      <x:c r="L18" s="28" t="n">
        <x:v>10</x:v>
      </x:c>
      <x:c r="M18" s="28" t="n">
        <x:v>5</x:v>
      </x:c>
      <x:c r="N18" s="28" t="n">
        <x:v>3</x:v>
      </x:c>
      <x:c r="O18" s="28" t="str">
        <x:v>Build clean shortlist</x:v>
      </x:c>
    </x:row>
    <x:row r="19" ht="24.4140625" hidden="0" customHeight="1">
      <x:c r="A19" s="28" t="n">
        <x:v>16</x:v>
      </x:c>
      <x:c r="B19" s="28" t="n">
        <x:v>3</x:v>
      </x:c>
      <x:c r="C19" s="28" t="str">
        <x:v>Tue</x:v>
      </x:c>
      <x:c r="D19" s="28" t="str">
        <x:v>Search + connect + enrich</x:v>
      </x:c>
      <x:c r="E19" s="28" t="str">
        <x:v>UAE/Saudi</x:v>
      </x:c>
      <x:c r="F19" s="28" t="str">
        <x:v>FMCG + HR</x:v>
      </x:c>
      <x:c r="G19" s="70" t="n">
        <x:v>0.6</x:v>
      </x:c>
      <x:c r="H19" s="70" t="n">
        <x:v>0.4</x:v>
      </x:c>
      <x:c r="I19" s="28" t="n">
        <x:v>60</x:v>
      </x:c>
      <x:c r="J19" s="28" t="n">
        <x:v>20</x:v>
      </x:c>
      <x:c r="K19" s="28" t="n">
        <x:v>15</x:v>
      </x:c>
      <x:c r="L19" s="28" t="n">
        <x:v>10</x:v>
      </x:c>
      <x:c r="M19" s="28" t="n">
        <x:v>9</x:v>
      </x:c>
      <x:c r="N19" s="28" t="n">
        <x:v>5</x:v>
      </x:c>
      <x:c r="O19" s="28" t="str">
        <x:v>Connection queue ready</x:v>
      </x:c>
    </x:row>
    <x:row r="20" ht="15" hidden="0" customHeight="1">
      <x:c r="A20" s="28" t="n">
        <x:v>17</x:v>
      </x:c>
      <x:c r="B20" s="28" t="n">
        <x:v>3</x:v>
      </x:c>
      <x:c r="C20" s="28" t="str">
        <x:v>Wed</x:v>
      </x:c>
      <x:c r="D20" s="28" t="str">
        <x:v>First outreach push</x:v>
      </x:c>
      <x:c r="E20" s="28" t="str">
        <x:v>Romania/UAE</x:v>
      </x:c>
      <x:c r="F20" s="28" t="str">
        <x:v>Textile + FMCG</x:v>
      </x:c>
      <x:c r="G20" s="70" t="n">
        <x:v>0.6</x:v>
      </x:c>
      <x:c r="H20" s="70" t="n">
        <x:v>0.4</x:v>
      </x:c>
      <x:c r="I20" s="28" t="n">
        <x:v>45</x:v>
      </x:c>
      <x:c r="J20" s="28" t="n">
        <x:v>15</x:v>
      </x:c>
      <x:c r="K20" s="28" t="n">
        <x:v>10</x:v>
      </x:c>
      <x:c r="L20" s="28" t="n">
        <x:v>20</x:v>
      </x:c>
      <x:c r="M20" s="28" t="n">
        <x:v>10</x:v>
      </x:c>
      <x:c r="N20" s="28" t="n">
        <x:v>5</x:v>
      </x:c>
      <x:c r="O20" s="28" t="str">
        <x:v>Replies begin</x:v>
      </x:c>
    </x:row>
    <x:row r="21" ht="15" hidden="0" customHeight="1">
      <x:c r="A21" s="28" t="n">
        <x:v>18</x:v>
      </x:c>
      <x:c r="B21" s="28" t="n">
        <x:v>3</x:v>
      </x:c>
      <x:c r="C21" s="28" t="str">
        <x:v>Thu</x:v>
      </x:c>
      <x:c r="D21" s="28" t="str">
        <x:v>Rotation + qualification</x:v>
      </x:c>
      <x:c r="E21" s="28" t="str">
        <x:v>Poland/Saudi</x:v>
      </x:c>
      <x:c r="F21" s="28" t="str">
        <x:v>HR + FMCG</x:v>
      </x:c>
      <x:c r="G21" s="70" t="n">
        <x:v>0.6</x:v>
      </x:c>
      <x:c r="H21" s="70" t="n">
        <x:v>0.4</x:v>
      </x:c>
      <x:c r="I21" s="28" t="n">
        <x:v>40</x:v>
      </x:c>
      <x:c r="J21" s="28" t="n">
        <x:v>15</x:v>
      </x:c>
      <x:c r="K21" s="28" t="n">
        <x:v>10</x:v>
      </x:c>
      <x:c r="L21" s="28" t="n">
        <x:v>12</x:v>
      </x:c>
      <x:c r="M21" s="28" t="n">
        <x:v>8</x:v>
      </x:c>
      <x:c r="N21" s="28" t="n">
        <x:v>9</x:v>
      </x:c>
      <x:c r="O21" s="28" t="str">
        <x:v>Lead quality improves</x:v>
      </x:c>
    </x:row>
    <x:row r="22" ht="15" hidden="0" customHeight="1">
      <x:c r="A22" s="28" t="n">
        <x:v>19</x:v>
      </x:c>
      <x:c r="B22" s="28" t="n">
        <x:v>3</x:v>
      </x:c>
      <x:c r="C22" s="28" t="str">
        <x:v>Fri</x:v>
      </x:c>
      <x:c r="D22" s="28" t="str">
        <x:v>Supplier emphasis</x:v>
      </x:c>
      <x:c r="E22" s="28" t="str">
        <x:v>Sweden/Romania</x:v>
      </x:c>
      <x:c r="F22" s="28" t="str">
        <x:v>Textile + Supplier</x:v>
      </x:c>
      <x:c r="G22" s="70" t="n">
        <x:v>0.6</x:v>
      </x:c>
      <x:c r="H22" s="70" t="n">
        <x:v>0.4</x:v>
      </x:c>
      <x:c r="I22" s="28" t="n">
        <x:v>50</x:v>
      </x:c>
      <x:c r="J22" s="28" t="n">
        <x:v>20</x:v>
      </x:c>
      <x:c r="K22" s="28" t="n">
        <x:v>10</x:v>
      </x:c>
      <x:c r="L22" s="28" t="n">
        <x:v>20</x:v>
      </x:c>
      <x:c r="M22" s="28" t="n">
        <x:v>10</x:v>
      </x:c>
      <x:c r="N22" s="28" t="n">
        <x:v>8</x:v>
      </x:c>
      <x:c r="O22" s="28" t="str">
        <x:v>Supplier depth</x:v>
      </x:c>
    </x:row>
    <x:row r="23" ht="24.4140625" hidden="0" customHeight="1">
      <x:c r="A23" s="28" t="n">
        <x:v>20</x:v>
      </x:c>
      <x:c r="B23" s="28" t="n">
        <x:v>3</x:v>
      </x:c>
      <x:c r="C23" s="28" t="str">
        <x:v>Sat</x:v>
      </x:c>
      <x:c r="D23" s="28" t="str">
        <x:v>Conversion + cleanup</x:v>
      </x:c>
      <x:c r="E23" s="28" t="str">
        <x:v>Africa test / clean-up</x:v>
      </x:c>
      <x:c r="F23" s="28" t="str">
        <x:v>Selective Africa FMCG</x:v>
      </x:c>
      <x:c r="G23" s="70" t="n">
        <x:v>0.6</x:v>
      </x:c>
      <x:c r="H23" s="70" t="n">
        <x:v>0.4</x:v>
      </x:c>
      <x:c r="I23" s="28" t="n">
        <x:v>28</x:v>
      </x:c>
      <x:c r="J23" s="28" t="n">
        <x:v>10</x:v>
      </x:c>
      <x:c r="K23" s="28" t="n">
        <x:v>5</x:v>
      </x:c>
      <x:c r="L23" s="28" t="n">
        <x:v>10</x:v>
      </x:c>
      <x:c r="M23" s="28" t="n">
        <x:v>5</x:v>
      </x:c>
      <x:c r="N23" s="28" t="n">
        <x:v>15</x:v>
      </x:c>
      <x:c r="O23" s="28" t="str">
        <x:v>Meetings / CRM hygiene</x:v>
      </x:c>
    </x:row>
    <x:row r="24" ht="24.4140625" hidden="0" customHeight="1">
      <x:c r="A24" s="28" t="n">
        <x:v>21</x:v>
      </x:c>
      <x:c r="B24" s="28" t="n">
        <x:v>3</x:v>
      </x:c>
      <x:c r="C24" s="28" t="str">
        <x:v>Sun</x:v>
      </x:c>
      <x:c r="D24" s="28" t="str">
        <x:v>Review / light day</x:v>
      </x:c>
      <x:c r="E24" s="28" t="str">
        <x:v>Review/Light</x:v>
      </x:c>
      <x:c r="F24" s="28" t="str">
        <x:v>Review</x:v>
      </x:c>
      <x:c r="G24" s="70" t="n">
        <x:v>0.6</x:v>
      </x:c>
      <x:c r="H24" s="70" t="n">
        <x:v>0.4</x:v>
      </x:c>
      <x:c r="I24" s="28" t="n">
        <x:v>15</x:v>
      </x:c>
      <x:c r="J24" s="28" t="n">
        <x:v>5</x:v>
      </x:c>
      <x:c r="K24" s="28" t="n">
        <x:v>3</x:v>
      </x:c>
      <x:c r="L24" s="28" t="n">
        <x:v>8</x:v>
      </x:c>
      <x:c r="M24" s="28" t="n">
        <x:v>2</x:v>
      </x:c>
      <x:c r="N24" s="28" t="n">
        <x:v>10</x:v>
      </x:c>
      <x:c r="O24" s="28" t="str">
        <x:v>Review and prep next week</x:v>
      </x:c>
    </x:row>
    <x:row r="25" ht="15" hidden="0" customHeight="1">
      <x:c r="A25" s="28" t="n">
        <x:v>22</x:v>
      </x:c>
      <x:c r="B25" s="28" t="n">
        <x:v>4</x:v>
      </x:c>
      <x:c r="C25" s="28" t="str">
        <x:v>Mon</x:v>
      </x:c>
      <x:c r="D25" s="28" t="str">
        <x:v>Search + shortlist</x:v>
      </x:c>
      <x:c r="E25" s="28" t="str">
        <x:v>Best 2 countries</x:v>
      </x:c>
      <x:c r="F25" s="28" t="str">
        <x:v>Best vertical 1</x:v>
      </x:c>
      <x:c r="G25" s="70" t="n">
        <x:v>0.7</x:v>
      </x:c>
      <x:c r="H25" s="70" t="n">
        <x:v>0.3</x:v>
      </x:c>
      <x:c r="I25" s="28" t="n">
        <x:v>55</x:v>
      </x:c>
      <x:c r="J25" s="28" t="n">
        <x:v>20</x:v>
      </x:c>
      <x:c r="K25" s="28" t="n">
        <x:v>7</x:v>
      </x:c>
      <x:c r="L25" s="28" t="n">
        <x:v>20</x:v>
      </x:c>
      <x:c r="M25" s="28" t="n">
        <x:v>6</x:v>
      </x:c>
      <x:c r="N25" s="28" t="n">
        <x:v>10</x:v>
      </x:c>
      <x:c r="O25" s="28" t="str">
        <x:v>Build clean shortlist</x:v>
      </x:c>
    </x:row>
    <x:row r="26" ht="24.4140625" hidden="0" customHeight="1">
      <x:c r="A26" s="28" t="n">
        <x:v>23</x:v>
      </x:c>
      <x:c r="B26" s="28" t="n">
        <x:v>4</x:v>
      </x:c>
      <x:c r="C26" s="28" t="str">
        <x:v>Tue</x:v>
      </x:c>
      <x:c r="D26" s="28" t="str">
        <x:v>Search + connect + enrich</x:v>
      </x:c>
      <x:c r="E26" s="28" t="str">
        <x:v>Best 2 countries</x:v>
      </x:c>
      <x:c r="F26" s="28" t="str">
        <x:v>Best vertical 1</x:v>
      </x:c>
      <x:c r="G26" s="70" t="n">
        <x:v>0.7</x:v>
      </x:c>
      <x:c r="H26" s="70" t="n">
        <x:v>0.3</x:v>
      </x:c>
      <x:c r="I26" s="28" t="n">
        <x:v>45</x:v>
      </x:c>
      <x:c r="J26" s="28" t="n">
        <x:v>15</x:v>
      </x:c>
      <x:c r="K26" s="28" t="n">
        <x:v>12</x:v>
      </x:c>
      <x:c r="L26" s="28" t="n">
        <x:v>20</x:v>
      </x:c>
      <x:c r="M26" s="28" t="n">
        <x:v>7</x:v>
      </x:c>
      <x:c r="N26" s="28" t="n">
        <x:v>10</x:v>
      </x:c>
      <x:c r="O26" s="28" t="str">
        <x:v>Connection queue ready</x:v>
      </x:c>
    </x:row>
    <x:row r="27" ht="15" hidden="0" customHeight="1">
      <x:c r="A27" s="28" t="n">
        <x:v>24</x:v>
      </x:c>
      <x:c r="B27" s="28" t="n">
        <x:v>4</x:v>
      </x:c>
      <x:c r="C27" s="28" t="str">
        <x:v>Wed</x:v>
      </x:c>
      <x:c r="D27" s="28" t="str">
        <x:v>First outreach push</x:v>
      </x:c>
      <x:c r="E27" s="28" t="str">
        <x:v>Best 3 countries</x:v>
      </x:c>
      <x:c r="F27" s="28" t="str">
        <x:v>Best vertical 2</x:v>
      </x:c>
      <x:c r="G27" s="70" t="n">
        <x:v>0.7</x:v>
      </x:c>
      <x:c r="H27" s="70" t="n">
        <x:v>0.3</x:v>
      </x:c>
      <x:c r="I27" s="28" t="n">
        <x:v>30</x:v>
      </x:c>
      <x:c r="J27" s="28" t="n">
        <x:v>10</x:v>
      </x:c>
      <x:c r="K27" s="28" t="n">
        <x:v>7</x:v>
      </x:c>
      <x:c r="L27" s="28" t="n">
        <x:v>20</x:v>
      </x:c>
      <x:c r="M27" s="28" t="n">
        <x:v>8</x:v>
      </x:c>
      <x:c r="N27" s="28" t="n">
        <x:v>10</x:v>
      </x:c>
      <x:c r="O27" s="28" t="str">
        <x:v>Replies begin</x:v>
      </x:c>
    </x:row>
    <x:row r="28" ht="15" hidden="0" customHeight="1">
      <x:c r="A28" s="28" t="n">
        <x:v>25</x:v>
      </x:c>
      <x:c r="B28" s="28" t="n">
        <x:v>4</x:v>
      </x:c>
      <x:c r="C28" s="28" t="str">
        <x:v>Thu</x:v>
      </x:c>
      <x:c r="D28" s="28" t="str">
        <x:v>Rotation + qualification</x:v>
      </x:c>
      <x:c r="E28" s="28" t="str">
        <x:v>Backup + winner</x:v>
      </x:c>
      <x:c r="F28" s="28" t="str">
        <x:v>Best vertical 1 + 2</x:v>
      </x:c>
      <x:c r="G28" s="70" t="n">
        <x:v>0.7</x:v>
      </x:c>
      <x:c r="H28" s="70" t="n">
        <x:v>0.3</x:v>
      </x:c>
      <x:c r="I28" s="28" t="n">
        <x:v>25</x:v>
      </x:c>
      <x:c r="J28" s="28" t="n">
        <x:v>10</x:v>
      </x:c>
      <x:c r="K28" s="28" t="n">
        <x:v>7</x:v>
      </x:c>
      <x:c r="L28" s="28" t="n">
        <x:v>20</x:v>
      </x:c>
      <x:c r="M28" s="28" t="n">
        <x:v>6</x:v>
      </x:c>
      <x:c r="N28" s="28" t="n">
        <x:v>10</x:v>
      </x:c>
      <x:c r="O28" s="28" t="str">
        <x:v>Lead quality improves</x:v>
      </x:c>
    </x:row>
    <x:row r="29" ht="15" hidden="0" customHeight="1">
      <x:c r="A29" s="28" t="n">
        <x:v>26</x:v>
      </x:c>
      <x:c r="B29" s="28" t="n">
        <x:v>4</x:v>
      </x:c>
      <x:c r="C29" s="28" t="str">
        <x:v>Fri</x:v>
      </x:c>
      <x:c r="D29" s="28" t="str">
        <x:v>Supplier emphasis</x:v>
      </x:c>
      <x:c r="E29" s="28" t="str">
        <x:v>Best responders</x:v>
      </x:c>
      <x:c r="F29" s="28" t="str">
        <x:v>Conversion focus</x:v>
      </x:c>
      <x:c r="G29" s="70" t="n">
        <x:v>0.7</x:v>
      </x:c>
      <x:c r="H29" s="70" t="n">
        <x:v>0.3</x:v>
      </x:c>
      <x:c r="I29" s="28" t="n">
        <x:v>35</x:v>
      </x:c>
      <x:c r="J29" s="28" t="n">
        <x:v>15</x:v>
      </x:c>
      <x:c r="K29" s="28" t="n">
        <x:v>7</x:v>
      </x:c>
      <x:c r="L29" s="28" t="n">
        <x:v>20</x:v>
      </x:c>
      <x:c r="M29" s="28" t="n">
        <x:v>8</x:v>
      </x:c>
      <x:c r="N29" s="28" t="n">
        <x:v>12</x:v>
      </x:c>
      <x:c r="O29" s="28" t="str">
        <x:v>Supplier depth</x:v>
      </x:c>
    </x:row>
    <x:row r="30" ht="24.4140625" hidden="0" customHeight="1">
      <x:c r="A30" s="28" t="n">
        <x:v>27</x:v>
      </x:c>
      <x:c r="B30" s="28" t="n">
        <x:v>4</x:v>
      </x:c>
      <x:c r="C30" s="28" t="str">
        <x:v>Sat</x:v>
      </x:c>
      <x:c r="D30" s="28" t="str">
        <x:v>Conversion + cleanup</x:v>
      </x:c>
      <x:c r="E30" s="28" t="str">
        <x:v>Meeting push</x:v>
      </x:c>
      <x:c r="F30" s="28" t="str">
        <x:v>Meeting push</x:v>
      </x:c>
      <x:c r="G30" s="70" t="n">
        <x:v>0.7</x:v>
      </x:c>
      <x:c r="H30" s="70" t="n">
        <x:v>0.3</x:v>
      </x:c>
      <x:c r="I30" s="28" t="n">
        <x:v>28</x:v>
      </x:c>
      <x:c r="J30" s="28" t="n">
        <x:v>10</x:v>
      </x:c>
      <x:c r="K30" s="28" t="n">
        <x:v>5</x:v>
      </x:c>
      <x:c r="L30" s="28" t="n">
        <x:v>10</x:v>
      </x:c>
      <x:c r="M30" s="28" t="n">
        <x:v>5</x:v>
      </x:c>
      <x:c r="N30" s="28" t="n">
        <x:v>15</x:v>
      </x:c>
      <x:c r="O30" s="28" t="str">
        <x:v>Meetings / CRM hygiene</x:v>
      </x:c>
    </x:row>
    <x:row r="31" ht="24.4140625" hidden="0" customHeight="1">
      <x:c r="A31" s="28" t="n">
        <x:v>28</x:v>
      </x:c>
      <x:c r="B31" s="28" t="n">
        <x:v>4</x:v>
      </x:c>
      <x:c r="C31" s="28" t="str">
        <x:v>Sun</x:v>
      </x:c>
      <x:c r="D31" s="28" t="str">
        <x:v>Review / light day</x:v>
      </x:c>
      <x:c r="E31" s="28" t="str">
        <x:v>Review/Light</x:v>
      </x:c>
      <x:c r="F31" s="28" t="str">
        <x:v>Review</x:v>
      </x:c>
      <x:c r="G31" s="70" t="n">
        <x:v>0.7</x:v>
      </x:c>
      <x:c r="H31" s="70" t="n">
        <x:v>0.3</x:v>
      </x:c>
      <x:c r="I31" s="28" t="n">
        <x:v>15</x:v>
      </x:c>
      <x:c r="J31" s="28" t="n">
        <x:v>5</x:v>
      </x:c>
      <x:c r="K31" s="28" t="n">
        <x:v>3</x:v>
      </x:c>
      <x:c r="L31" s="28" t="n">
        <x:v>8</x:v>
      </x:c>
      <x:c r="M31" s="28" t="n">
        <x:v>2</x:v>
      </x:c>
      <x:c r="N31" s="28" t="n">
        <x:v>10</x:v>
      </x:c>
      <x:c r="O31" s="28" t="str">
        <x:v>Review and prep next week</x:v>
      </x:c>
    </x:row>
    <x:row r="32" ht="15" hidden="0" customHeight="1">
      <x:c r="A32" s="28" t="n">
        <x:v>29</x:v>
      </x:c>
      <x:c r="B32" s="28" t="n">
        <x:v>5</x:v>
      </x:c>
      <x:c r="C32" s="28" t="str">
        <x:v>Mon</x:v>
      </x:c>
      <x:c r="D32" s="28" t="str">
        <x:v>Search + shortlist</x:v>
      </x:c>
      <x:c r="E32" s="28" t="str">
        <x:v>Best responders</x:v>
      </x:c>
      <x:c r="F32" s="28" t="str">
        <x:v>Best vertical 1</x:v>
      </x:c>
      <x:c r="G32" s="70" t="n">
        <x:v>0.7</x:v>
      </x:c>
      <x:c r="H32" s="70" t="n">
        <x:v>0.3</x:v>
      </x:c>
      <x:c r="I32" s="28" t="n">
        <x:v>55</x:v>
      </x:c>
      <x:c r="J32" s="28" t="n">
        <x:v>20</x:v>
      </x:c>
      <x:c r="K32" s="28" t="n">
        <x:v>7</x:v>
      </x:c>
      <x:c r="L32" s="28" t="n">
        <x:v>20</x:v>
      </x:c>
      <x:c r="M32" s="28" t="n">
        <x:v>6</x:v>
      </x:c>
      <x:c r="N32" s="28" t="n">
        <x:v>10</x:v>
      </x:c>
      <x:c r="O32" s="28" t="str">
        <x:v>Build clean shortlist</x:v>
      </x:c>
    </x:row>
    <x:row r="33" ht="24.4140625" hidden="0" customHeight="1">
      <x:c r="A33" s="28" t="n">
        <x:v>30</x:v>
      </x:c>
      <x:c r="B33" s="28" t="n">
        <x:v>5</x:v>
      </x:c>
      <x:c r="C33" s="28" t="str">
        <x:v>Tue</x:v>
      </x:c>
      <x:c r="D33" s="28" t="str">
        <x:v>Search + connect + enrich</x:v>
      </x:c>
      <x:c r="E33" s="28" t="str">
        <x:v>Best responders</x:v>
      </x:c>
      <x:c r="F33" s="28" t="str">
        <x:v>Best vertical 1</x:v>
      </x:c>
      <x:c r="G33" s="70" t="n">
        <x:v>0.7</x:v>
      </x:c>
      <x:c r="H33" s="70" t="n">
        <x:v>0.3</x:v>
      </x:c>
      <x:c r="I33" s="28" t="n">
        <x:v>45</x:v>
      </x:c>
      <x:c r="J33" s="28" t="n">
        <x:v>15</x:v>
      </x:c>
      <x:c r="K33" s="28" t="n">
        <x:v>12</x:v>
      </x:c>
      <x:c r="L33" s="28" t="n">
        <x:v>20</x:v>
      </x:c>
      <x:c r="M33" s="28" t="n">
        <x:v>7</x:v>
      </x:c>
      <x:c r="N33" s="28" t="n">
        <x:v>10</x:v>
      </x:c>
      <x:c r="O33" s="28" t="str">
        <x:v>Connection queue ready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24" hidden="0" customWidth="1"/>
  </x:cols>
  <x:sheetData>
    <x:row r="1" ht="24" customHeight="1">
      <x:c r="A1" s="5" t="str">
        <x:v>Sources and Current Assumptions</x:v>
      </x:c>
      <x:c r="B1" s="5" t="str"/>
      <x:c r="C1" s="5" t="str"/>
      <x:c r="D1" s="5" t="str"/>
    </x:row>
    <x:row r="3" ht="15" hidden="0" customHeight="1">
      <x:c r="A3" s="17" t="str">
        <x:v>Topic</x:v>
      </x:c>
      <x:c r="B3" s="17" t="str">
        <x:v>Current Detail Used</x:v>
      </x:c>
      <x:c r="C3" s="17" t="str">
        <x:v>Source URL</x:v>
      </x:c>
      <x:c r="D3" s="17" t="str">
        <x:v>Reference Notes</x:v>
      </x:c>
    </x:row>
    <x:row r="4" ht="36.62109375" hidden="0" customHeight="1">
      <x:c r="A4" s="28" t="str">
        <x:v>LinkedIn Sales Navigator pricing</x:v>
      </x:c>
      <x:c r="B4" s="28" t="str">
        <x:v>Core starts at US$119.99/month or US$1,079.88/year; Advanced starts at US$159.99/month or US$1,799.88/year</x:v>
      </x:c>
      <x:c r="C4" s="28" t="str">
        <x:v>https://business.linkedin.com/sell/sales-navigator/compare-plans</x:v>
      </x:c>
      <x:c r="D4" s="28" t="str">
        <x:v>Used for cost awareness and channel planning</x:v>
      </x:c>
    </x:row>
    <x:row r="5" ht="24.4140625" hidden="0" customHeight="1">
      <x:c r="A5" s="28" t="str">
        <x:v>LinkedIn Sales Navigator plan structure</x:v>
      </x:c>
      <x:c r="B5" s="28" t="str">
        <x:v>Core is for individual sellers; Advanced for sales teams; Advanced Plus is custom-priced</x:v>
      </x:c>
      <x:c r="C5" s="28" t="str">
        <x:v>https://business.linkedin.com/sell/sales-navigator/compare-plans</x:v>
      </x:c>
      <x:c r="D5" s="28" t="str">
        <x:v>Used to frame likely Harvics operator setup</x:v>
      </x:c>
    </x:row>
    <x:row r="6" ht="24.4140625" hidden="0" customHeight="1">
      <x:c r="A6" s="28" t="str">
        <x:v>Apollo trial and credits</x:v>
      </x:c>
      <x:c r="B6" s="28" t="str">
        <x:v>Trial plans include 50 credits and 5 mobile credits</x:v>
      </x:c>
      <x:c r="C6" s="28" t="str">
        <x:v>https://www.apollo.io/pricing</x:v>
      </x:c>
      <x:c r="D6" s="28" t="str">
        <x:v>Used for conservative enrichment assumptions</x:v>
      </x:c>
    </x:row>
    <x:row r="7" ht="24.4140625" hidden="0" customHeight="1">
      <x:c r="A7" s="28" t="str">
        <x:v>Apollo fair-use / credit policy</x:v>
      </x:c>
      <x:c r="B7" s="28" t="str">
        <x:v>Apollo states unlimited plans are governed by fair-use / credit policy</x:v>
      </x:c>
      <x:c r="C7" s="28" t="str">
        <x:v>https://www.apollo.io/pricing</x:v>
      </x:c>
      <x:c r="D7" s="28" t="str">
        <x:v>Used to avoid over-assuming credit abundance</x:v>
      </x:c>
    </x:row>
    <x:row r="8" ht="24.4140625" hidden="0" customHeight="1">
      <x:c r="A8" s="28" t="str">
        <x:v>LinkedIn Professional Community Policies</x:v>
      </x:c>
      <x:c r="B8" s="28" t="str">
        <x:v>Professional Community Policies apply; plan designed to avoid spammy or inauthentic use</x:v>
      </x:c>
      <x:c r="C8" s="28" t="str">
        <x:v>https://www.linkedin.com/legal/professional-community-policies</x:v>
      </x:c>
      <x:c r="D8" s="28" t="str">
        <x:v>Used to keep pacing compliant and non-spammy</x:v>
      </x:c>
    </x:row>
  </x:sheetData>
  <x:pageMargins left="0.7" right="0.7" top="0.75" bottom="0.75" header="0.3" footer="0.3"/>
</x:worksheet>
</file>