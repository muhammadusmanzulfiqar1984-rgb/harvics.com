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4ca54f391242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ads" sheetId="1" r:id="R507291c057804daf"/>
    <x:sheet xmlns:r="http://schemas.openxmlformats.org/officeDocument/2006/relationships" name="Market_Summary" sheetId="2" r:id="R4f440db2fdef4e10"/>
    <x:sheet xmlns:r="http://schemas.openxmlformats.org/officeDocument/2006/relationships" name="Search_Keywords" sheetId="3" r:id="Raf0ff0dc8a84416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name val="Carlito"/>
    </x:font>
    <x:font>
      <x:b/>
      <x:sz val="11"/>
      <x:color rgb="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D9EAF7"/>
      </x:patternFill>
    </x:fill>
    <x:fill>
      <x:patternFill patternType="solid">
        <x:fgColor rgb="D9F2E3"/>
      </x:patternFill>
    </x:fill>
    <x:fill>
      <x:patternFill patternType="solid">
        <x:fgColor rgb="FFF2CC"/>
      </x:patternFill>
    </x:fill>
    <x:fill>
      <x:patternFill patternType="solid">
        <x:fgColor rgb="1F4E78"/>
      </x:patternFill>
    </x:fill>
    <x:fill>
      <x:patternFill patternType="solid">
        <x:fgColor rgb="E2F0D9"/>
      </x:patternFill>
    </x:fill>
  </x:fills>
  <x:borders count="26">
    <x:border/>
    <x:border/>
    <x:border>
      <x:left style="thin">
        <x:color rgb="D9D9D9"/>
      </x:left>
      <x:top style="thin">
        <x:color rgb="D9D9D9"/>
      </x:top>
    </x:border>
    <x:border>
      <x:top style="thin">
        <x:color rgb="D9D9D9"/>
      </x:top>
    </x:border>
    <x:border>
      <x:right style="thin">
        <x:color rgb="D9D9D9"/>
      </x:right>
      <x:top style="thin">
        <x:color rgb="D9D9D9"/>
      </x:top>
    </x:border>
    <x:border>
      <x:left style="thin">
        <x:color rgb="D9D9D9"/>
      </x:left>
    </x:border>
    <x:border>
      <x:right style="thin">
        <x:color rgb="D9D9D9"/>
      </x:right>
    </x:border>
    <x:border>
      <x:left style="thin">
        <x:color rgb="D9D9D9"/>
      </x:left>
      <x:bottom style="thin">
        <x:color rgb="D9D9D9"/>
      </x:bottom>
    </x:border>
    <x:border>
      <x:bottom style="thin">
        <x:color rgb="D9D9D9"/>
      </x:bottom>
    </x:border>
    <x:border>
      <x:right style="thin">
        <x:color rgb="D9D9D9"/>
      </x:right>
      <x:bottom style="thin">
        <x:color rgb="D9D9D9"/>
      </x:bottom>
    </x:border>
    <x:border>
      <x:left style="thin">
        <x:color rgb="D9D9D9"/>
      </x:left>
      <x:top style="thin">
        <x:color rgb="D9D9D9"/>
      </x:top>
    </x:border>
    <x:border>
      <x:top style="thin">
        <x:color rgb="D9D9D9"/>
      </x:top>
    </x:border>
    <x:border>
      <x:right style="thin">
        <x:color rgb="D9D9D9"/>
      </x:right>
      <x:top style="thin">
        <x:color rgb="D9D9D9"/>
      </x:top>
    </x:border>
    <x:border>
      <x:left style="thin">
        <x:color rgb="D9D9D9"/>
      </x:left>
    </x:border>
    <x:border>
      <x:right style="thin">
        <x:color rgb="D9D9D9"/>
      </x:right>
    </x:border>
    <x:border>
      <x:left style="thin">
        <x:color rgb="D9D9D9"/>
      </x:left>
      <x:bottom style="thin">
        <x:color rgb="D9D9D9"/>
      </x:bottom>
    </x:border>
    <x:border>
      <x:bottom style="thin">
        <x:color rgb="D9D9D9"/>
      </x:bottom>
    </x:border>
    <x:border>
      <x:right style="thin">
        <x:color rgb="D9D9D9"/>
      </x:right>
      <x:bottom style="thin">
        <x:color rgb="D9D9D9"/>
      </x:bottom>
    </x:border>
    <x:border>
      <x:left style="thin">
        <x:color rgb="D9D9D9"/>
      </x:left>
      <x:top style="thin">
        <x:color rgb="D9D9D9"/>
      </x:top>
      <x:bottom style="thin">
        <x:color rgb="D9D9D9"/>
      </x:bottom>
    </x:border>
    <x:border>
      <x:top style="thin">
        <x:color rgb="D9D9D9"/>
      </x:top>
      <x:bottom style="thin">
        <x:color rgb="D9D9D9"/>
      </x:bottom>
    </x:border>
    <x:border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top style="thin">
        <x:color rgb="D9D9D9"/>
      </x:top>
      <x:bottom style="thin">
        <x:color rgb="D9D9D9"/>
      </x:bottom>
    </x:border>
    <x:border>
      <x:top style="thin">
        <x:color rgb="D9D9D9"/>
      </x:top>
      <x:bottom style="thin">
        <x:color rgb="D9D9D9"/>
      </x:bottom>
    </x:border>
    <x:border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  <x:border>
      <x:left style="thin">
        <x:color rgb="D9D9D9"/>
      </x:left>
      <x:right style="thin">
        <x:color rgb="D9D9D9"/>
      </x:right>
      <x:top style="thin">
        <x:color rgb="D9D9D9"/>
      </x:top>
      <x:bottom style="thin">
        <x:color rgb="D9D9D9"/>
      </x:bottom>
    </x:border>
  </x:borders>
  <x:cellStyleXfs count="1">
    <x:xf numFmtId="0" fontId="0" fillId="0" borderId="0"/>
  </x:cellStyleXfs>
  <x:cellXfs count="153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0" fillId="2" borderId="4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4" xfId="0" applyNumberFormat="1" applyFont="1" applyFill="1" applyBorder="1" applyAlignment="1">
      <x:alignment vertical="top" wrapText="1"/>
    </x:xf>
    <x:xf numFmtId="0" fontId="1" fillId="2" borderId="18" xfId="0" applyNumberFormat="1" applyFont="1" applyFill="1" applyBorder="1" applyAlignment="1">
      <x:alignment vertical="top" wrapText="1"/>
    </x:xf>
    <x:xf numFmtId="0" fontId="1" fillId="2" borderId="19" xfId="0" applyNumberFormat="1" applyFont="1" applyFill="1" applyBorder="1" applyAlignment="1">
      <x:alignment vertical="top" wrapText="1"/>
    </x:xf>
    <x:xf numFmtId="0" fontId="1" fillId="2" borderId="20" xfId="0" applyNumberFormat="1" applyFont="1" applyFill="1" applyBorder="1" applyAlignment="1">
      <x:alignment vertical="top" wrapText="1"/>
    </x:xf>
    <x:xf numFmtId="0" fontId="1" fillId="2" borderId="18" xfId="0" applyNumberFormat="1" applyFont="1" applyFill="1" applyBorder="1" applyAlignment="1">
      <x:alignment horizontal="center" vertical="top" wrapText="1"/>
    </x:xf>
    <x:xf numFmtId="0" fontId="1" fillId="2" borderId="19" xfId="0" applyNumberFormat="1" applyFont="1" applyFill="1" applyBorder="1" applyAlignment="1">
      <x:alignment horizontal="center" vertical="top" wrapText="1"/>
    </x:xf>
    <x:xf numFmtId="0" fontId="1" fillId="2" borderId="20" xfId="0" applyNumberFormat="1" applyFont="1" applyFill="1" applyBorder="1" applyAlignment="1">
      <x:alignment horizontal="center" vertical="top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1" fillId="2" borderId="20" xfId="0" applyNumberFormat="1" applyFont="1" applyFill="1" applyBorder="1" applyAlignment="1">
      <x:alignment horizontal="center" vertical="center" wrapText="1"/>
    </x:xf>
    <x:xf numFmtId="0" fontId="0" fillId="2" borderId="10" xfId="0" applyNumberFormat="1" applyFont="1" applyFill="1" applyBorder="1" applyAlignment="1">
      <x:alignment vertical="top" wrapText="1"/>
    </x:xf>
    <x:xf numFmtId="0" fontId="0" fillId="2" borderId="11" xfId="0" applyNumberFormat="1" applyFont="1" applyFill="1" applyBorder="1" applyAlignment="1">
      <x:alignment vertical="top" wrapText="1"/>
    </x:xf>
    <x:xf numFmtId="0" fontId="0" fillId="2" borderId="12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vertical="top" wrapText="1"/>
    </x:xf>
    <x:xf numFmtId="0" fontId="1" fillId="2" borderId="12" xfId="0" applyNumberFormat="1" applyFont="1" applyFill="1" applyBorder="1" applyAlignment="1">
      <x:alignment vertical="top" wrapText="1"/>
    </x:xf>
    <x:xf numFmtId="0" fontId="1" fillId="2" borderId="21" xfId="0" applyNumberFormat="1" applyFont="1" applyFill="1" applyBorder="1" applyAlignment="1">
      <x:alignment vertical="top" wrapText="1"/>
    </x:xf>
    <x:xf numFmtId="0" fontId="1" fillId="2" borderId="22" xfId="0" applyNumberFormat="1" applyFont="1" applyFill="1" applyBorder="1" applyAlignment="1">
      <x:alignment vertical="top" wrapText="1"/>
    </x:xf>
    <x:xf numFmtId="0" fontId="1" fillId="2" borderId="23" xfId="0" applyNumberFormat="1" applyFont="1" applyFill="1" applyBorder="1" applyAlignment="1">
      <x:alignment vertical="top" wrapText="1"/>
    </x:xf>
    <x:xf numFmtId="0" fontId="1" fillId="2" borderId="21" xfId="0" applyNumberFormat="1" applyFont="1" applyFill="1" applyBorder="1" applyAlignment="1">
      <x:alignment horizontal="center" vertical="top" wrapText="1"/>
    </x:xf>
    <x:xf numFmtId="0" fontId="1" fillId="2" borderId="22" xfId="0" applyNumberFormat="1" applyFont="1" applyFill="1" applyBorder="1" applyAlignment="1">
      <x:alignment horizontal="center" vertical="top" wrapText="1"/>
    </x:xf>
    <x:xf numFmtId="0" fontId="1" fillId="2" borderId="23" xfId="0" applyNumberFormat="1" applyFont="1" applyFill="1" applyBorder="1" applyAlignment="1">
      <x:alignment horizontal="center" vertical="top" wrapText="1"/>
    </x:xf>
    <x:xf numFmtId="0" fontId="1" fillId="2" borderId="21" xfId="0" applyNumberFormat="1" applyFont="1" applyFill="1" applyBorder="1" applyAlignment="1">
      <x:alignment horizontal="center" vertical="center" wrapText="1"/>
    </x:xf>
    <x:xf numFmtId="0" fontId="1" fillId="2" borderId="22" xfId="0" applyNumberFormat="1" applyFont="1" applyFill="1" applyBorder="1" applyAlignment="1">
      <x:alignment horizontal="center" vertical="center" wrapText="1"/>
    </x:xf>
    <x:xf numFmtId="0" fontId="1" fillId="2" borderId="23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3" borderId="24" xfId="0" applyNumberFormat="1" applyFont="1" applyFill="1" applyBorder="1" applyAlignment="1">
      <x:alignment vertical="top" wrapText="1"/>
    </x:xf>
    <x:xf numFmtId="0" fontId="1" fillId="3" borderId="24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vertical="top" wrapText="1"/>
    </x:xf>
    <x:xf numFmtId="0" fontId="1" fillId="3" borderId="25" xfId="0" applyNumberFormat="1" applyFont="1" applyFill="1" applyBorder="1" applyAlignment="1">
      <x:alignment vertical="top" wrapText="1"/>
    </x:xf>
    <x:xf numFmtId="0" fontId="1" fillId="3" borderId="25" xfId="0" applyNumberFormat="1" applyFont="1" applyFill="1" applyBorder="1" applyAlignment="1">
      <x:alignment horizontal="center"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1" fillId="4" borderId="24" xfId="0" applyNumberFormat="1" applyFont="1" applyFill="1" applyBorder="1" applyAlignment="1">
      <x:alignment vertical="top" wrapText="1"/>
    </x:xf>
    <x:xf numFmtId="0" fontId="1" fillId="4" borderId="24" xfId="0" applyNumberFormat="1" applyFont="1" applyFill="1" applyBorder="1" applyAlignment="1">
      <x:alignment horizontal="center"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4" borderId="1" xfId="0" applyNumberFormat="1" applyFont="1" applyFill="1" applyBorder="1" applyAlignment="1">
      <x:alignment vertical="top" wrapText="1"/>
    </x:xf>
    <x:xf numFmtId="0" fontId="1" fillId="4" borderId="25" xfId="0" applyNumberFormat="1" applyFont="1" applyFill="1" applyBorder="1" applyAlignment="1">
      <x:alignment vertical="top" wrapText="1"/>
    </x:xf>
    <x:xf numFmtId="0" fontId="1" fillId="4" borderId="25" xfId="0" applyNumberFormat="1" applyFont="1" applyFill="1" applyBorder="1" applyAlignment="1">
      <x:alignment horizontal="center" vertical="top" wrapText="1"/>
    </x:xf>
    <x:xf numFmtId="0" fontId="0" fillId="4" borderId="8" xfId="0" applyNumberFormat="1" applyFont="1" applyFill="1" applyBorder="1" applyAlignment="1">
      <x:alignment vertical="top" wrapText="1"/>
    </x:xf>
    <x:xf numFmtId="0" fontId="1" fillId="4" borderId="8" xfId="0" applyNumberFormat="1" applyFont="1" applyFill="1" applyBorder="1" applyAlignment="1">
      <x:alignment vertical="top" wrapText="1"/>
    </x:xf>
    <x:xf numFmtId="0" fontId="0" fillId="4" borderId="16" xfId="0" applyNumberFormat="1" applyFont="1" applyFill="1" applyBorder="1" applyAlignment="1">
      <x:alignment vertical="top" wrapText="1"/>
    </x:xf>
    <x:xf numFmtId="0" fontId="1" fillId="4" borderId="16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0" fontId="0" fillId="5" borderId="3" xfId="0" applyNumberFormat="1" applyFont="1" applyFill="1" applyBorder="1" applyAlignment="1">
      <x:alignment vertical="top" wrapText="1"/>
    </x:xf>
    <x:xf numFmtId="0" fontId="0" fillId="5" borderId="4" xfId="0" applyNumberFormat="1" applyFont="1" applyFill="1" applyBorder="1" applyAlignment="1">
      <x:alignment vertical="top" wrapText="1"/>
    </x:xf>
    <x:xf numFmtId="0" fontId="2" fillId="5" borderId="2" xfId="0" applyNumberFormat="1" applyFont="1" applyFill="1" applyBorder="1" applyAlignment="1">
      <x:alignment vertical="top" wrapText="1"/>
    </x:xf>
    <x:xf numFmtId="0" fontId="2" fillId="5" borderId="3" xfId="0" applyNumberFormat="1" applyFont="1" applyFill="1" applyBorder="1" applyAlignment="1">
      <x:alignment vertical="top" wrapText="1"/>
    </x:xf>
    <x:xf numFmtId="0" fontId="2" fillId="5" borderId="4" xfId="0" applyNumberFormat="1" applyFont="1" applyFill="1" applyBorder="1" applyAlignment="1">
      <x:alignment vertical="top" wrapText="1"/>
    </x:xf>
    <x:xf numFmtId="0" fontId="2" fillId="5" borderId="18" xfId="0" applyNumberFormat="1" applyFont="1" applyFill="1" applyBorder="1" applyAlignment="1">
      <x:alignment vertical="top" wrapText="1"/>
    </x:xf>
    <x:xf numFmtId="0" fontId="2" fillId="5" borderId="19" xfId="0" applyNumberFormat="1" applyFont="1" applyFill="1" applyBorder="1" applyAlignment="1">
      <x:alignment vertical="top" wrapText="1"/>
    </x:xf>
    <x:xf numFmtId="0" fontId="2" fillId="5" borderId="20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0" fillId="5" borderId="12" xfId="0" applyNumberFormat="1" applyFont="1" applyFill="1" applyBorder="1" applyAlignment="1">
      <x:alignment vertical="top" wrapText="1"/>
    </x:xf>
    <x:xf numFmtId="0" fontId="2" fillId="5" borderId="10" xfId="0" applyNumberFormat="1" applyFont="1" applyFill="1" applyBorder="1" applyAlignment="1">
      <x:alignment vertical="top" wrapText="1"/>
    </x:xf>
    <x:xf numFmtId="0" fontId="2" fillId="5" borderId="11" xfId="0" applyNumberFormat="1" applyFont="1" applyFill="1" applyBorder="1" applyAlignment="1">
      <x:alignment vertical="top" wrapText="1"/>
    </x:xf>
    <x:xf numFmtId="0" fontId="2" fillId="5" borderId="12" xfId="0" applyNumberFormat="1" applyFont="1" applyFill="1" applyBorder="1" applyAlignment="1">
      <x:alignment vertical="top" wrapText="1"/>
    </x:xf>
    <x:xf numFmtId="0" fontId="2" fillId="5" borderId="21" xfId="0" applyNumberFormat="1" applyFont="1" applyFill="1" applyBorder="1" applyAlignment="1">
      <x:alignment vertical="top" wrapText="1"/>
    </x:xf>
    <x:xf numFmtId="0" fontId="2" fillId="5" borderId="22" xfId="0" applyNumberFormat="1" applyFont="1" applyFill="1" applyBorder="1" applyAlignment="1">
      <x:alignment vertical="top" wrapText="1"/>
    </x:xf>
    <x:xf numFmtId="0" fontId="2" fillId="5" borderId="23" xfId="0" applyNumberFormat="1" applyFont="1" applyFill="1" applyBorder="1" applyAlignment="1">
      <x:alignment vertical="top" wrapText="1"/>
    </x:xf>
    <x:xf numFmtId="0" fontId="0" fillId="2" borderId="5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vertical="top" wrapText="1"/>
    </x:xf>
    <x:xf numFmtId="0" fontId="0" fillId="2" borderId="6" xfId="0" applyNumberFormat="1" applyFont="1" applyFill="1" applyBorder="1" applyAlignment="1">
      <x:alignment vertical="top" wrapText="1"/>
    </x:xf>
    <x:xf numFmtId="0" fontId="1" fillId="2" borderId="5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1" fillId="2" borderId="6" xfId="0" applyNumberFormat="1" applyFont="1" applyFill="1" applyBorder="1" applyAlignment="1">
      <x:alignment vertical="top" wrapText="1"/>
    </x:xf>
    <x:xf numFmtId="0" fontId="0" fillId="2" borderId="13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2" borderId="14" xfId="0" applyNumberFormat="1" applyFont="1" applyFill="1" applyBorder="1" applyAlignment="1">
      <x:alignment vertical="top" wrapText="1"/>
    </x:xf>
    <x:xf numFmtId="0" fontId="1" fillId="2" borderId="1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14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6" xfId="0" applyNumberFormat="1" applyFont="1" applyFill="1" applyBorder="1" applyAlignment="1">
      <x:alignment vertical="top" wrapText="1"/>
    </x:xf>
    <x:xf numFmtId="0" fontId="1" fillId="6" borderId="5" xfId="0" applyNumberFormat="1" applyFont="1" applyFill="1" applyBorder="1" applyAlignment="1">
      <x:alignment vertical="top" wrapText="1"/>
    </x:xf>
    <x:xf numFmtId="0" fontId="1" fillId="6" borderId="0" xfId="0" applyNumberFormat="1" applyFont="1" applyFill="1" applyBorder="1" applyAlignment="1">
      <x:alignment vertical="top" wrapText="1"/>
    </x:xf>
    <x:xf numFmtId="0" fontId="1" fillId="6" borderId="6" xfId="0" applyNumberFormat="1" applyFont="1" applyFill="1" applyBorder="1" applyAlignment="1">
      <x:alignment vertical="top" wrapText="1"/>
    </x:xf>
    <x:xf numFmtId="0" fontId="1" fillId="6" borderId="18" xfId="0" applyNumberFormat="1" applyFont="1" applyFill="1" applyBorder="1" applyAlignment="1">
      <x:alignment vertical="top" wrapText="1"/>
    </x:xf>
    <x:xf numFmtId="0" fontId="1" fillId="6" borderId="19" xfId="0" applyNumberFormat="1" applyFont="1" applyFill="1" applyBorder="1" applyAlignment="1">
      <x:alignment vertical="top" wrapText="1"/>
    </x:xf>
    <x:xf numFmtId="0" fontId="1" fillId="6" borderId="20" xfId="0" applyNumberFormat="1" applyFont="1" applyFill="1" applyBorder="1" applyAlignment="1">
      <x:alignment vertical="top" wrapText="1"/>
    </x:xf>
    <x:xf numFmtId="0" fontId="0" fillId="6" borderId="13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6" borderId="14" xfId="0" applyNumberFormat="1" applyFont="1" applyFill="1" applyBorder="1" applyAlignment="1">
      <x:alignment vertical="top" wrapText="1"/>
    </x:xf>
    <x:xf numFmtId="0" fontId="1" fillId="6" borderId="13" xfId="0" applyNumberFormat="1" applyFont="1" applyFill="1" applyBorder="1" applyAlignment="1">
      <x:alignment vertical="top" wrapText="1"/>
    </x:xf>
    <x:xf numFmtId="0" fontId="1" fillId="6" borderId="1" xfId="0" applyNumberFormat="1" applyFont="1" applyFill="1" applyBorder="1" applyAlignment="1">
      <x:alignment vertical="top" wrapText="1"/>
    </x:xf>
    <x:xf numFmtId="0" fontId="1" fillId="6" borderId="14" xfId="0" applyNumberFormat="1" applyFont="1" applyFill="1" applyBorder="1" applyAlignment="1">
      <x:alignment vertical="top" wrapText="1"/>
    </x:xf>
    <x:xf numFmtId="0" fontId="1" fillId="6" borderId="21" xfId="0" applyNumberFormat="1" applyFont="1" applyFill="1" applyBorder="1" applyAlignment="1">
      <x:alignment vertical="top" wrapText="1"/>
    </x:xf>
    <x:xf numFmtId="0" fontId="1" fillId="6" borderId="22" xfId="0" applyNumberFormat="1" applyFont="1" applyFill="1" applyBorder="1" applyAlignment="1">
      <x:alignment vertical="top" wrapText="1"/>
    </x:xf>
    <x:xf numFmtId="0" fontId="1" fillId="6" borderId="2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0c763497d4953" /><Relationship Type="http://schemas.openxmlformats.org/officeDocument/2006/relationships/theme" Target="/xl/theme/theme1.xml" Id="R8f65ac55274b47bd" /><Relationship Type="http://schemas.openxmlformats.org/officeDocument/2006/relationships/sharedStrings" Target="/xl/sharedStrings.xml" Id="R8d03ca8f61ae4fed" /><Relationship Type="http://schemas.openxmlformats.org/officeDocument/2006/relationships/worksheet" Target="/xl/worksheets/sheet1.xml" Id="R507291c057804daf" /><Relationship Type="http://schemas.openxmlformats.org/officeDocument/2006/relationships/worksheet" Target="/xl/worksheets/sheet2.xml" Id="R4f440db2fdef4e10" /><Relationship Type="http://schemas.openxmlformats.org/officeDocument/2006/relationships/worksheet" Target="/xl/worksheets/sheet3.xml" Id="Raf0ff0dc8a84416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0" hidden="0" customWidth="1"/>
    <x:col min="4" max="4" width="24" hidden="0" customWidth="1"/>
    <x:col min="5" max="5" width="28" hidden="0" customWidth="1"/>
    <x:col min="6" max="6" width="18" hidden="0" customWidth="1"/>
    <x:col min="7" max="7" width="24" hidden="0" customWidth="1"/>
    <x:col min="8" max="8" width="24" hidden="0" customWidth="1"/>
    <x:col min="9" max="9" width="18" hidden="0" customWidth="1"/>
    <x:col min="10" max="10" width="28" hidden="0" customWidth="1"/>
    <x:col min="11" max="11" width="22" hidden="0" customWidth="1"/>
    <x:col min="12" max="12" width="34" hidden="0" customWidth="1"/>
    <x:col min="13" max="13" width="24" hidden="0" customWidth="1"/>
    <x:col min="14" max="14" width="36" hidden="0" customWidth="1"/>
    <x:col min="15" max="15" width="24" hidden="0" customWidth="1"/>
    <x:col min="16" max="16" width="28" hidden="0" customWidth="1"/>
    <x:col min="17" max="17" width="28" hidden="0" customWidth="1"/>
  </x:cols>
  <x:sheetData>
    <x:row r="1">
      <x:c r="A1" s="67" t="str">
        <x:v>Region Cluster</x:v>
      </x:c>
      <x:c r="B1" s="68" t="str">
        <x:v>Country</x:v>
      </x:c>
      <x:c r="C1" s="68" t="str">
        <x:v>Priority</x:v>
      </x:c>
      <x:c r="D1" s="68" t="str">
        <x:v>Company</x:v>
      </x:c>
      <x:c r="E1" s="68" t="str">
        <x:v>Website</x:v>
      </x:c>
      <x:c r="F1" s="68" t="str">
        <x:v>City / Base</x:v>
      </x:c>
      <x:c r="G1" s="68" t="str">
        <x:v>Business Type</x:v>
      </x:c>
      <x:c r="H1" s="68" t="str">
        <x:v>Product Fit</x:v>
      </x:c>
      <x:c r="I1" s="68" t="str">
        <x:v>Public Contact Name</x:v>
      </x:c>
      <x:c r="J1" s="68" t="str">
        <x:v>Target Decision-Maker / Title</x:v>
      </x:c>
      <x:c r="K1" s="68" t="str">
        <x:v>Public Contact Details</x:v>
      </x:c>
      <x:c r="L1" s="68" t="str">
        <x:v>Why Relevant</x:v>
      </x:c>
      <x:c r="M1" s="68" t="str">
        <x:v>Recommended Outreach Angle</x:v>
      </x:c>
      <x:c r="N1" s="68" t="str">
        <x:v>Short Personalized First-Contact Angle</x:v>
      </x:c>
      <x:c r="O1" s="68" t="str">
        <x:v>Verification Notes</x:v>
      </x:c>
      <x:c r="P1" s="68" t="str">
        <x:v>Source URL 1</x:v>
      </x:c>
      <x:c r="Q1" s="69" t="str">
        <x:v>Source URL 2</x:v>
      </x:c>
    </x:row>
    <x:row r="2" ht="54" customHeight="1">
      <x:c r="A2" s="23" t="str">
        <x:v>Scandinavia</x:v>
      </x:c>
      <x:c r="B2" s="24" t="str">
        <x:v>Sweden</x:v>
      </x:c>
      <x:c r="C2" s="88" t="str">
        <x:v>High</x:v>
      </x:c>
      <x:c r="D2" s="24" t="str">
        <x:v>Saigon Food AB</x:v>
      </x:c>
      <x:c r="E2" s="24" t="str">
        <x:v>https://www.saigon.se/</x:v>
      </x:c>
      <x:c r="F2" s="24" t="str">
        <x:v>Angered / Göteborg</x:v>
      </x:c>
      <x:c r="G2" s="24" t="str">
        <x:v>Importer / Distributor / Wholesale</x:v>
      </x:c>
      <x:c r="H2" s="24" t="str">
        <x:v>Asian &amp; ethnic food; scalable Scandinavian distribution</x:v>
      </x:c>
      <x:c r="I2" s="24" t="str">
        <x:v>Public contact not named on source page</x:v>
      </x:c>
      <x:c r="J2" s="24" t="str">
        <x:v>Inköpschef / Inköpare / Importansvarig</x:v>
      </x:c>
      <x:c r="K2" s="24" t="str">
        <x:v>info@saigon.se | +46 31-337 84 00</x:v>
      </x:c>
      <x:c r="L2" s="24" t="str">
        <x:v>One of Sweden’s leading importers of food from Southeast Asia; distributes across Scandinavia from Angered central warehouse.</x:v>
      </x:c>
      <x:c r="M2" s="24" t="str">
        <x:v>Distribution partnership / product placement / HoReCa supply</x:v>
      </x:c>
      <x:c r="N2" s="24" t="str">
        <x:v>We would like to explore supplying halal ethnic FMCG lines suited to your Scandinavian import and wholesale portfolio.</x:v>
      </x:c>
      <x:c r="O2" s="24" t="str">
        <x:v>Verified operating company with direct website and contact details.</x:v>
      </x:c>
      <x:c r="P2" s="24" t="str">
        <x:v>https://www.saigon.se/</x:v>
      </x:c>
      <x:c r="Q2" s="25" t="str">
        <x:v>https://www.saigon.se/</x:v>
      </x:c>
    </x:row>
    <x:row r="3" ht="54" customHeight="1">
      <x:c r="A3" s="23" t="str">
        <x:v>Scandinavia</x:v>
      </x:c>
      <x:c r="B3" s="24" t="str">
        <x:v>Sweden</x:v>
      </x:c>
      <x:c r="C3" s="88" t="str">
        <x:v>High</x:v>
      </x:c>
      <x:c r="D3" s="24" t="str">
        <x:v>Lazzat Foods AB</x:v>
      </x:c>
      <x:c r="E3" s="24" t="str">
        <x:v>https://lazzatfoods.se/</x:v>
      </x:c>
      <x:c r="F3" s="24" t="str">
        <x:v>Sweden (Scandinavia-wide reach)</x:v>
      </x:c>
      <x:c r="G3" s="24" t="str">
        <x:v>Importer / Distributor</x:v>
      </x:c>
      <x:c r="H3" s="24" t="str">
        <x:v>Indian rice, lentils, beans, spices, ethnic staples</x:v>
      </x:c>
      <x:c r="I3" s="24" t="str">
        <x:v>Public contact not identified in source excerpt</x:v>
      </x:c>
      <x:c r="J3" s="24" t="str">
        <x:v>Inköpschef / Strategisk inköpare / Kategoriansvarig</x:v>
      </x:c>
      <x:c r="K3" s="24" t="str">
        <x:v>Website contact form</x:v>
      </x:c>
      <x:c r="L3" s="24" t="str">
        <x:v>Leading distributor of Indian rice, lentils, beans, Indian food and spices in Sweden; distributes across Scandinavia.</x:v>
      </x:c>
      <x:c r="M3" s="24" t="str">
        <x:v>Distribution partnership / retail expansion</x:v>
      </x:c>
      <x:c r="N3" s="24" t="str">
        <x:v>Harvics can support ethnic-food sourcing programs with reliable supply and private-label options.</x:v>
      </x:c>
      <x:c r="O3" s="24" t="str">
        <x:v>Verified company site; no named buyer found in public snippet.</x:v>
      </x:c>
      <x:c r="P3" s="24" t="str">
        <x:v>https://lazzatfoods.se/</x:v>
      </x:c>
      <x:c r="Q3" s="25" t="str">
        <x:v>https://lazzatfoods.se/en/info/about-us/</x:v>
      </x:c>
    </x:row>
    <x:row r="4" ht="54" customHeight="1">
      <x:c r="A4" s="23" t="str">
        <x:v>Scandinavia</x:v>
      </x:c>
      <x:c r="B4" s="24" t="str">
        <x:v>Sweden</x:v>
      </x:c>
      <x:c r="C4" s="88" t="str">
        <x:v>High</x:v>
      </x:c>
      <x:c r="D4" s="24" t="str">
        <x:v>Ethnic Foods AB</x:v>
      </x:c>
      <x:c r="E4" s="24" t="str">
        <x:v>https://www.ethnicfoods.se/</x:v>
      </x:c>
      <x:c r="F4" s="24" t="str">
        <x:v>Sweden</x:v>
      </x:c>
      <x:c r="G4" s="24" t="str">
        <x:v>Wholesaler / Distributor</x:v>
      </x:c>
      <x:c r="H4" s="24" t="str">
        <x:v>Broad global/ethnic food assortment</x:v>
      </x:c>
      <x:c r="I4" s="24" t="str">
        <x:v>Ahmad Najdi</x:v>
      </x:c>
      <x:c r="J4" s="24" t="str">
        <x:v>Inköpare / Kommersiell chef</x:v>
      </x:c>
      <x:c r="K4" s="24" t="str">
        <x:v>ahmad.najdi@ethnicfoods.se | +46 737 060 708</x:v>
      </x:c>
      <x:c r="L4" s="24" t="str">
        <x:v>Global food wholesaler offering broad assortment and direct public contact; strong fit for ethnic FMCG outreach.</x:v>
      </x:c>
      <x:c r="M4" s="24" t="str">
        <x:v>Distribution partnership / institutional supply</x:v>
      </x:c>
      <x:c r="N4" s="24" t="str">
        <x:v>Your portfolio appears relevant for halal and ethnic FMCG sourcing discussions with broad product breadth.</x:v>
      </x:c>
      <x:c r="O4" s="24" t="str">
        <x:v>Direct public contact published; buyer title not public.</x:v>
      </x:c>
      <x:c r="P4" s="24" t="str">
        <x:v>https://www.ethnicfoods.se/</x:v>
      </x:c>
      <x:c r="Q4" s="25" t="str">
        <x:v>https://www.ethnicfoods.se/</x:v>
      </x:c>
    </x:row>
    <x:row r="5" ht="54" customHeight="1">
      <x:c r="A5" s="23" t="str">
        <x:v>Scandinavia</x:v>
      </x:c>
      <x:c r="B5" s="24" t="str">
        <x:v>Sweden</x:v>
      </x:c>
      <x:c r="C5" s="96" t="str">
        <x:v>Medium</x:v>
      </x:c>
      <x:c r="D5" s="24" t="str">
        <x:v>Thai Fong</x:v>
      </x:c>
      <x:c r="E5" s="24" t="str">
        <x:v>https://thaifong.se/</x:v>
      </x:c>
      <x:c r="F5" s="24" t="str">
        <x:v>Sweden</x:v>
      </x:c>
      <x:c r="G5" s="24" t="str">
        <x:v>Wholesaler</x:v>
      </x:c>
      <x:c r="H5" s="24" t="str">
        <x:v>Asian cuisine specialist wholesaler</x:v>
      </x:c>
      <x:c r="I5" s="24" t="str">
        <x:v>Public contact not identified on source page</x:v>
      </x:c>
      <x:c r="J5" s="24" t="str">
        <x:v>Inköpschef / Kategorichef</x:v>
      </x:c>
      <x:c r="K5" s="24" t="str">
        <x:v>Website contact form</x:v>
      </x:c>
      <x:c r="L5" s="24" t="str">
        <x:v>One of Sweden’s largest food wholesalers specialized in the Asian kitchen.</x:v>
      </x:c>
      <x:c r="M5" s="24" t="str">
        <x:v>Distribution partnership / product placement</x:v>
      </x:c>
      <x:c r="N5" s="24" t="str">
        <x:v>We can propose selected halal ethnic lines aligned with Asian and world-food demand in Sweden.</x:v>
      </x:c>
      <x:c r="O5" s="24" t="str">
        <x:v>Verified company site; no named buyer publicly surfaced.</x:v>
      </x:c>
      <x:c r="P5" s="24" t="str">
        <x:v>https://thaifong.se/</x:v>
      </x:c>
      <x:c r="Q5" s="25" t="str">
        <x:v>https://thaifong.se/</x:v>
      </x:c>
    </x:row>
    <x:row r="6" ht="54" customHeight="1">
      <x:c r="A6" s="23" t="str">
        <x:v>Scandinavia</x:v>
      </x:c>
      <x:c r="B6" s="24" t="str">
        <x:v>Sweden</x:v>
      </x:c>
      <x:c r="C6" s="96" t="str">
        <x:v>Medium</x:v>
      </x:c>
      <x:c r="D6" s="24" t="str">
        <x:v>Nordic Culinary AB</x:v>
      </x:c>
      <x:c r="E6" s="24" t="str">
        <x:v>https://nordicculinary.se/</x:v>
      </x:c>
      <x:c r="F6" s="24" t="str">
        <x:v>Stockholm</x:v>
      </x:c>
      <x:c r="G6" s="24" t="str">
        <x:v>Wholesaler / HoReCa supplier</x:v>
      </x:c>
      <x:c r="H6" s="24" t="str">
        <x:v>Fresh, frozen, dry goods; ethnic restaurant supply</x:v>
      </x:c>
      <x:c r="I6" s="24" t="str">
        <x:v>Public contact not named in excerpt</x:v>
      </x:c>
      <x:c r="J6" s="24" t="str">
        <x:v>Inköpschef / Supply Chain Manager</x:v>
      </x:c>
      <x:c r="K6" s="24" t="str">
        <x:v>Website contact form</x:v>
      </x:c>
      <x:c r="L6" s="24" t="str">
        <x:v>Wholesale partner serving restaurants, catering firms, food stores and ethnic restaurants in Sweden.</x:v>
      </x:c>
      <x:c r="M6" s="24" t="str">
        <x:v>HoReCa supply / institutional supply</x:v>
      </x:c>
      <x:c r="N6" s="24" t="str">
        <x:v>Harvics can offer halal ethnic staples and frozen lines suitable for ethnic restaurants and catering buyers.</x:v>
      </x:c>
      <x:c r="O6" s="24" t="str">
        <x:v>Verified direct website; role targeting inferred from business model.</x:v>
      </x:c>
      <x:c r="P6" s="24" t="str">
        <x:v>https://nordicculinary.se/</x:v>
      </x:c>
      <x:c r="Q6" s="25" t="str">
        <x:v>https://nordicculinary.se/</x:v>
      </x:c>
    </x:row>
    <x:row r="7" ht="54" customHeight="1">
      <x:c r="A7" s="23" t="str">
        <x:v>Central Europe</x:v>
      </x:c>
      <x:c r="B7" s="24" t="str">
        <x:v>Poland</x:v>
      </x:c>
      <x:c r="C7" s="88" t="str">
        <x:v>High</x:v>
      </x:c>
      <x:c r="D7" s="24" t="str">
        <x:v>Kuchnie Świata S.A.</x:v>
      </x:c>
      <x:c r="E7" s="24" t="str">
        <x:v>https://www.kuchnieswiata.com.pl/en</x:v>
      </x:c>
      <x:c r="F7" s="24" t="str">
        <x:v>Poland</x:v>
      </x:c>
      <x:c r="G7" s="24" t="str">
        <x:v>Importer / Distributor / HoReCa supplier</x:v>
      </x:c>
      <x:c r="H7" s="24" t="str">
        <x:v>World foods, seafood, frozen products, 5,000+ HoReCa items</x:v>
      </x:c>
      <x:c r="I7" s="24" t="str">
        <x:v>Public contact not identified on source page</x:v>
      </x:c>
      <x:c r="J7" s="24" t="str">
        <x:v>Dyrektor Zakupów / Kierownik Zakupów / Menedżer Kategorii</x:v>
      </x:c>
      <x:c r="K7" s="24" t="str">
        <x:v>Website contact form</x:v>
      </x:c>
      <x:c r="L7" s="24" t="str">
        <x:v>Long-established importer and distributor active in Polish HoReCa with over 5,000 products from world cuisines.</x:v>
      </x:c>
      <x:c r="M7" s="24" t="str">
        <x:v>HoReCa supply / distribution partnership</x:v>
      </x:c>
      <x:c r="N7" s="24" t="str">
        <x:v>Harvics can introduce halal ethnic FMCG and frozen lines suited to modern HoReCa and world-food menus.</x:v>
      </x:c>
      <x:c r="O7" s="24" t="str">
        <x:v>Verified direct website; decision-maker titles inferred from company structure.</x:v>
      </x:c>
      <x:c r="P7" s="24" t="str">
        <x:v>https://www.kuchnieswiata.com.pl/en</x:v>
      </x:c>
      <x:c r="Q7" s="25" t="str">
        <x:v>https://www.kuchnieswiata.com.pl/en</x:v>
      </x:c>
    </x:row>
    <x:row r="8" ht="54" customHeight="1">
      <x:c r="A8" s="23" t="str">
        <x:v>Central Europe</x:v>
      </x:c>
      <x:c r="B8" s="24" t="str">
        <x:v>Poland</x:v>
      </x:c>
      <x:c r="C8" s="88" t="str">
        <x:v>High</x:v>
      </x:c>
      <x:c r="D8" s="24" t="str">
        <x:v>EU Halal Poultry Poland</x:v>
      </x:c>
      <x:c r="E8" s="24" t="str">
        <x:v>https://euhalal.info/</x:v>
      </x:c>
      <x:c r="F8" s="24" t="str">
        <x:v>Poland</x:v>
      </x:c>
      <x:c r="G8" s="24" t="str">
        <x:v>Manufacturer / Distributor / Wholesale</x:v>
      </x:c>
      <x:c r="H8" s="24" t="str">
        <x:v>Halal poultry for retail, wholesale, catering and fast food</x:v>
      </x:c>
      <x:c r="I8" s="24" t="str">
        <x:v>Public contact team</x:v>
      </x:c>
      <x:c r="J8" s="24" t="str">
        <x:v>Dyrektor Handlowy / Menedżer Importu / Procurement Manager</x:v>
      </x:c>
      <x:c r="K8" s="24" t="str">
        <x:v>+48 787 110 366 | info@euhalal.info</x:v>
      </x:c>
      <x:c r="L8" s="24" t="str">
        <x:v>Halal-specialist producer/distributor serving retail, wholesale, catering and fast-food sectors across Europe, including Scandinavia and Germany.</x:v>
      </x:c>
      <x:c r="M8" s="24" t="str">
        <x:v>Distribution partnership / institutional supply</x:v>
      </x:c>
      <x:c r="N8" s="24" t="str">
        <x:v>Harvics can discuss complementary halal FMCG lines and regional trade collaboration.</x:v>
      </x:c>
      <x:c r="O8" s="24" t="str">
        <x:v>Strong halal fit and direct contact details; excellent adjacency for halal category expansion.</x:v>
      </x:c>
      <x:c r="P8" s="24" t="str">
        <x:v>https://euhalal.info/</x:v>
      </x:c>
      <x:c r="Q8" s="25" t="str">
        <x:v>https://euhalal.info/</x:v>
      </x:c>
    </x:row>
    <x:row r="9" ht="54" customHeight="1">
      <x:c r="A9" s="23" t="str">
        <x:v>Central Europe</x:v>
      </x:c>
      <x:c r="B9" s="24" t="str">
        <x:v>Poland</x:v>
      </x:c>
      <x:c r="C9" s="88" t="str">
        <x:v>High</x:v>
      </x:c>
      <x:c r="D9" s="24" t="str">
        <x:v>LIMPOL</x:v>
      </x:c>
      <x:c r="E9" s="24" t="str">
        <x:v>https://limpol.pl/en/</x:v>
      </x:c>
      <x:c r="F9" s="24" t="str">
        <x:v>Poland</x:v>
      </x:c>
      <x:c r="G9" s="24" t="str">
        <x:v>Importer / Distributor / Private label supplier</x:v>
      </x:c>
      <x:c r="H9" s="24" t="str">
        <x:v>Exotic FMCG, Mediterranean and global food products; HoReCa line</x:v>
      </x:c>
      <x:c r="I9" s="24" t="str">
        <x:v>Public contact not identified on source page</x:v>
      </x:c>
      <x:c r="J9" s="24" t="str">
        <x:v>Dyrektor Zakupów / Kierownik ds. Zaopatrzenia</x:v>
      </x:c>
      <x:c r="K9" s="24" t="str">
        <x:v>Website contact form</x:v>
      </x:c>
      <x:c r="L9" s="24" t="str">
        <x:v>Imports food from 33 countries and supplies both retail and HoReCa; operates private-label VERA and VERA Gastronomia lines.</x:v>
      </x:c>
      <x:c r="M9" s="24" t="str">
        <x:v>Private label / distribution partnership</x:v>
      </x:c>
      <x:c r="N9" s="24" t="str">
        <x:v>Harvics can position ethnic/halal lines for retail or gastronomy under distribution or private-label programs.</x:v>
      </x:c>
      <x:c r="O9" s="24" t="str">
        <x:v>Verified direct site with strong import breadth; buyer not publicly named.</x:v>
      </x:c>
      <x:c r="P9" s="24" t="str">
        <x:v>https://limpol.pl/en/</x:v>
      </x:c>
      <x:c r="Q9" s="25" t="str">
        <x:v>https://limpol.pl/en/</x:v>
      </x:c>
    </x:row>
    <x:row r="10" ht="54" customHeight="1">
      <x:c r="A10" s="23" t="str">
        <x:v>Central Europe</x:v>
      </x:c>
      <x:c r="B10" s="24" t="str">
        <x:v>Poland</x:v>
      </x:c>
      <x:c r="C10" s="96" t="str">
        <x:v>Medium</x:v>
      </x:c>
      <x:c r="D10" s="24" t="str">
        <x:v>World of Asia</x:v>
      </x:c>
      <x:c r="E10" s="24" t="str">
        <x:v>https://worldofasia.pl/en/</x:v>
      </x:c>
      <x:c r="F10" s="24" t="str">
        <x:v>Poland</x:v>
      </x:c>
      <x:c r="G10" s="24" t="str">
        <x:v>Importer / Distributor</x:v>
      </x:c>
      <x:c r="H10" s="24" t="str">
        <x:v>Food and non-food products for sushi restaurants</x:v>
      </x:c>
      <x:c r="I10" s="24" t="str">
        <x:v>Public contact team</x:v>
      </x:c>
      <x:c r="J10" s="24" t="str">
        <x:v>Kierownik Zakupów / Menedżer Kategorii</x:v>
      </x:c>
      <x:c r="K10" s="24" t="str">
        <x:v>+48 534 264 264</x:v>
      </x:c>
      <x:c r="L10" s="24" t="str">
        <x:v>Importer/distributor focused on sushi restaurants with controlled-temperature logistics.</x:v>
      </x:c>
      <x:c r="M10" s="24" t="str">
        <x:v>Product placement / HoReCa supply</x:v>
      </x:c>
      <x:c r="N10" s="24" t="str">
        <x:v>Potential fit for selected Asian-adjacent halal/ethnic lines and frozen or ambient products relevant to restaurant buyers.</x:v>
      </x:c>
      <x:c r="O10" s="24" t="str">
        <x:v>Verified direct website; niche but commercially actionable.</x:v>
      </x:c>
      <x:c r="P10" s="24" t="str">
        <x:v>https://worldofasia.pl/en/</x:v>
      </x:c>
      <x:c r="Q10" s="25" t="str">
        <x:v>https://worldofasia.pl/en/</x:v>
      </x:c>
    </x:row>
    <x:row r="11" ht="54" customHeight="1">
      <x:c r="A11" s="23" t="str">
        <x:v>Central Europe</x:v>
      </x:c>
      <x:c r="B11" s="24" t="str">
        <x:v>Poland</x:v>
      </x:c>
      <x:c r="C11" s="96" t="str">
        <x:v>Medium</x:v>
      </x:c>
      <x:c r="D11" s="24" t="str">
        <x:v>NOBI</x:v>
      </x:c>
      <x:c r="E11" s="24" t="str">
        <x:v>https://nobi.com.pl/en/about-us</x:v>
      </x:c>
      <x:c r="F11" s="24" t="str">
        <x:v>Poland</x:v>
      </x:c>
      <x:c r="G11" s="24" t="str">
        <x:v>Importer / Distributor</x:v>
      </x:c>
      <x:c r="H11" s="24" t="str">
        <x:v>Asian food products and kitchenware for home and professional kitchen</x:v>
      </x:c>
      <x:c r="I11" s="24" t="str">
        <x:v>Public contact not identified on source page</x:v>
      </x:c>
      <x:c r="J11" s="24" t="str">
        <x:v>Kupiec / Menedżer Kategorii / Import Manager</x:v>
      </x:c>
      <x:c r="K11" s="24" t="str">
        <x:v>Website contact form</x:v>
      </x:c>
      <x:c r="L11" s="24" t="str">
        <x:v>Imports and markets Asian food products for both home cooking and professional kitchens.</x:v>
      </x:c>
      <x:c r="M11" s="24" t="str">
        <x:v>Distribution partnership / retail expansion</x:v>
      </x:c>
      <x:c r="N11" s="24" t="str">
        <x:v>Harvics can propose ethnic staple lines and selected ready-to-cook products for retail and foodservice.</x:v>
      </x:c>
      <x:c r="O11" s="24" t="str">
        <x:v>Verified direct website; buyer name not public.</x:v>
      </x:c>
      <x:c r="P11" s="24" t="str">
        <x:v>https://nobi.com.pl/en/about-us</x:v>
      </x:c>
      <x:c r="Q11" s="25" t="str">
        <x:v>https://nobi.com.pl/en/about-us</x:v>
      </x:c>
    </x:row>
    <x:row r="12" ht="54" customHeight="1">
      <x:c r="A12" s="23" t="str">
        <x:v>Eastern Europe</x:v>
      </x:c>
      <x:c r="B12" s="24" t="str">
        <x:v>Romania</x:v>
      </x:c>
      <x:c r="C12" s="88" t="str">
        <x:v>High</x:v>
      </x:c>
      <x:c r="D12" s="24" t="str">
        <x:v>Macromex</x:v>
      </x:c>
      <x:c r="E12" s="24" t="str">
        <x:v>https://www.macromex.com/en</x:v>
      </x:c>
      <x:c r="F12" s="24" t="str">
        <x:v>Bucharest</x:v>
      </x:c>
      <x:c r="G12" s="24" t="str">
        <x:v>Importer / Distributor / Retail &amp; HoReCa supplier</x:v>
      </x:c>
      <x:c r="H12" s="24" t="str">
        <x:v>Frozen and chilled products</x:v>
      </x:c>
      <x:c r="I12" s="24" t="str">
        <x:v>Not publicly identified in official snippet</x:v>
      </x:c>
      <x:c r="J12" s="24" t="str">
        <x:v>Director Achiziții / Manager Achiziții / Director Comercial</x:v>
      </x:c>
      <x:c r="K12" s="24" t="str">
        <x:v>Website contact form</x:v>
      </x:c>
      <x:c r="L12" s="24" t="str">
        <x:v>Romanian leader in frozen and chilled products active in both Retail and HoReCa; strong scale and route-to-market.</x:v>
      </x:c>
      <x:c r="M12" s="24" t="str">
        <x:v>Distribution partnership / HoReCa supply</x:v>
      </x:c>
      <x:c r="N12" s="24" t="str">
        <x:v>Harvics can explore halal frozen and ethnic FMCG supply aligned with retail and Horeca channels.</x:v>
      </x:c>
      <x:c r="O12" s="24" t="str">
        <x:v>Verified official company website; large-scale buyer target.</x:v>
      </x:c>
      <x:c r="P12" s="24" t="str">
        <x:v>https://www.macromex.com/en</x:v>
      </x:c>
      <x:c r="Q12" s="25" t="str">
        <x:v>https://www.macromex.com/en/our-company/who-we-are</x:v>
      </x:c>
    </x:row>
    <x:row r="13" ht="54" customHeight="1">
      <x:c r="A13" s="23" t="str">
        <x:v>Eastern Europe</x:v>
      </x:c>
      <x:c r="B13" s="24" t="str">
        <x:v>Romania</x:v>
      </x:c>
      <x:c r="C13" s="88" t="str">
        <x:v>High</x:v>
      </x:c>
      <x:c r="D13" s="24" t="str">
        <x:v>Mirasia Food S.R.L.</x:v>
      </x:c>
      <x:c r="E13" s="24" t="str">
        <x:v>https://www.mirasia.ro/</x:v>
      </x:c>
      <x:c r="F13" s="24" t="str">
        <x:v>Romania</x:v>
      </x:c>
      <x:c r="G13" s="24" t="str">
        <x:v>Importer / Distributor / Wholesale</x:v>
      </x:c>
      <x:c r="H13" s="24" t="str">
        <x:v>Korean and Asian retail and wholesale food</x:v>
      </x:c>
      <x:c r="I13" s="24" t="str">
        <x:v>Public contact not identified on source page</x:v>
      </x:c>
      <x:c r="J13" s="24" t="str">
        <x:v>Manager Achiziții / Director Comercial</x:v>
      </x:c>
      <x:c r="K13" s="24" t="str">
        <x:v>Website contact form</x:v>
      </x:c>
      <x:c r="L13" s="24" t="str">
        <x:v>Leader in import, trade and distribution of Korean and Asian food in Romania; clear ethnic-food fit.</x:v>
      </x:c>
      <x:c r="M13" s="24" t="str">
        <x:v>Distribution partnership / product placement</x:v>
      </x:c>
      <x:c r="N13" s="24" t="str">
        <x:v>Harvics can offer selected ethnic and halal FMCG lines complementary to Asian/world-food assortments.</x:v>
      </x:c>
      <x:c r="O13" s="24" t="str">
        <x:v>Verified direct website; strong ethnic-food relevance.</x:v>
      </x:c>
      <x:c r="P13" s="24" t="str">
        <x:v>https://www.mirasia.ro/</x:v>
      </x:c>
      <x:c r="Q13" s="25" t="str">
        <x:v>https://www.mirasia.ro/</x:v>
      </x:c>
    </x:row>
    <x:row r="14" ht="54" customHeight="1">
      <x:c r="A14" s="23" t="str">
        <x:v>Eastern Europe</x:v>
      </x:c>
      <x:c r="B14" s="24" t="str">
        <x:v>Romania</x:v>
      </x:c>
      <x:c r="C14" s="88" t="str">
        <x:v>High</x:v>
      </x:c>
      <x:c r="D14" s="24" t="str">
        <x:v>AYT Halal Meat Provider</x:v>
      </x:c>
      <x:c r="E14" s="24" t="str">
        <x:v>https://aythalalmeat.ro/en/</x:v>
      </x:c>
      <x:c r="F14" s="24" t="str">
        <x:v>Popești-Leordeni / Ilfov</x:v>
      </x:c>
      <x:c r="G14" s="24" t="str">
        <x:v>Manufacturer / Distributor</x:v>
      </x:c>
      <x:c r="H14" s="24" t="str">
        <x:v>Halal meat and fast-food supply</x:v>
      </x:c>
      <x:c r="I14" s="24" t="str">
        <x:v>Public contact team</x:v>
      </x:c>
      <x:c r="J14" s="24" t="str">
        <x:v>Director Comercial / Manager Import / Responsabil Aprovizionare</x:v>
      </x:c>
      <x:c r="K14" s="24" t="str">
        <x:v>Website contact form</x:v>
      </x:c>
      <x:c r="L14" s="24" t="str">
        <x:v>Preferred partner for leading restaurants and fast-food chains; nationwide halal meat production and distribution.</x:v>
      </x:c>
      <x:c r="M14" s="24" t="str">
        <x:v>Institutional supply / category extension</x:v>
      </x:c>
      <x:c r="N14" s="24" t="str">
        <x:v>Potential platform for wider halal category discussions beyond meat into packaged halal food lines.</x:v>
      </x:c>
      <x:c r="O14" s="24" t="str">
        <x:v>Verified official site; excellent halal-category fit.</x:v>
      </x:c>
      <x:c r="P14" s="24" t="str">
        <x:v>https://aythalalmeat.ro/en/</x:v>
      </x:c>
      <x:c r="Q14" s="25" t="str">
        <x:v>https://aythalalmeat.ro/</x:v>
      </x:c>
    </x:row>
    <x:row r="15" ht="54" customHeight="1">
      <x:c r="A15" s="23" t="str">
        <x:v>Eastern Europe</x:v>
      </x:c>
      <x:c r="B15" s="24" t="str">
        <x:v>Romania</x:v>
      </x:c>
      <x:c r="C15" s="96" t="str">
        <x:v>Medium</x:v>
      </x:c>
      <x:c r="D15" s="24" t="str">
        <x:v>Sydra Global</x:v>
      </x:c>
      <x:c r="E15" s="24" t="str">
        <x:v>https://www.sydra.ro/en</x:v>
      </x:c>
      <x:c r="F15" s="24" t="str">
        <x:v>Sibiu</x:v>
      </x:c>
      <x:c r="G15" s="24" t="str">
        <x:v>Supplier / Exporter / Halal meat specialist</x:v>
      </x:c>
      <x:c r="H15" s="24" t="str">
        <x:v>Halal meat export</x:v>
      </x:c>
      <x:c r="I15" s="24" t="str">
        <x:v>Public contact not identified on source page</x:v>
      </x:c>
      <x:c r="J15" s="24" t="str">
        <x:v>Director Achiziții / Director Comercial</x:v>
      </x:c>
      <x:c r="K15" s="24" t="str">
        <x:v>Website contact form</x:v>
      </x:c>
      <x:c r="L15" s="24" t="str">
        <x:v>Main supplier of halal meat in Romania, based in Sibiu, with export capability for fresh and frozen products.</x:v>
      </x:c>
      <x:c r="M15" s="24" t="str">
        <x:v>Institutional supply / halal partnership</x:v>
      </x:c>
      <x:c r="N15" s="24" t="str">
        <x:v>Useful strategic halal-market contact and potential category gateway in Romania.</x:v>
      </x:c>
      <x:c r="O15" s="24" t="str">
        <x:v>Verified direct website; more meat-focused than FMCG, but strategically relevant.</x:v>
      </x:c>
      <x:c r="P15" s="24" t="str">
        <x:v>https://www.sydra.ro/en</x:v>
      </x:c>
      <x:c r="Q15" s="25" t="str">
        <x:v>https://www.sydra.ro/en</x:v>
      </x:c>
    </x:row>
    <x:row r="16" ht="54" customHeight="1">
      <x:c r="A16" s="26" t="str">
        <x:v>Eastern Europe</x:v>
      </x:c>
      <x:c r="B16" s="27" t="str">
        <x:v>Romania</x:v>
      </x:c>
      <x:c r="C16" s="96" t="str">
        <x:v>Medium</x:v>
      </x:c>
      <x:c r="D16" s="27" t="str">
        <x:v>Balkanica Distral</x:v>
      </x:c>
      <x:c r="E16" s="27" t="str">
        <x:v>https://balkanica.ro/en</x:v>
      </x:c>
      <x:c r="F16" s="27" t="str">
        <x:v>Romania</x:v>
      </x:c>
      <x:c r="G16" s="27" t="str">
        <x:v>Wholesale / Export platform</x:v>
      </x:c>
      <x:c r="H16" s="27" t="str">
        <x:v>Romanian food products for traders, restaurants and manufacturers</x:v>
      </x:c>
      <x:c r="I16" s="27" t="str">
        <x:v>Public contact not identified on source page</x:v>
      </x:c>
      <x:c r="J16" s="27" t="str">
        <x:v>Director Comercial / Manager Achiziții</x:v>
      </x:c>
      <x:c r="K16" s="27" t="str">
        <x:v>B2B order portal on website</x:v>
      </x:c>
      <x:c r="L16" s="27" t="str">
        <x:v>Wholesale platform dedicated to traders, shop owners, restaurants and manufacturers; export orientation.</x:v>
      </x:c>
      <x:c r="M16" s="27" t="str">
        <x:v>Distribution partnership / retail expansion</x:v>
      </x:c>
      <x:c r="N16" s="27" t="str">
        <x:v>Can be approached for broader distribution or route-to-market mapping within Romania and EU.</x:v>
      </x:c>
      <x:c r="O16" s="27" t="str">
        <x:v>Verified direct website; more Romania-food export than halal-specific.</x:v>
      </x:c>
      <x:c r="P16" s="27" t="str">
        <x:v>https://balkanica.ro/en</x:v>
      </x:c>
      <x:c r="Q16" s="28" t="str">
        <x:v>https://balkanica.ro/en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8" hidden="0" customWidth="1"/>
    <x:col min="3" max="3" width="14" hidden="0" customWidth="1"/>
    <x:col min="4" max="4" width="36" hidden="0" customWidth="1"/>
  </x:cols>
  <x:sheetData>
    <x:row r="1">
      <x:c r="A1" s="111" t="str">
        <x:v>Harvics Global Ventures – Halal / Ethnic FMCG B2B Lead Summary</x:v>
      </x:c>
      <x:c r="B1" s="112" t="str"/>
      <x:c r="C1" s="112" t="str"/>
      <x:c r="D1" s="113" t="str"/>
    </x:row>
    <x:row r="2">
      <x:c r="A2" s="23" t="str">
        <x:v>Prepared</x:v>
      </x:c>
      <x:c r="B2" s="24" t="str">
        <x:v>2026-04-24</x:v>
      </x:c>
      <x:c r="C2" s="24" t="str">
        <x:v>Markets</x:v>
      </x:c>
      <x:c r="D2" s="25" t="str">
        <x:v>Sweden / Poland / Romania</x:v>
      </x:c>
    </x:row>
    <x:row r="3">
      <x:c r="A3" s="23" t="str">
        <x:v>Method</x:v>
      </x:c>
      <x:c r="B3" s="24" t="str">
        <x:v>Country-by-country web research using English + local-language terms</x:v>
      </x:c>
      <x:c r="C3" s="24" t="str">
        <x:v>Output</x:v>
      </x:c>
      <x:c r="D3" s="25" t="str">
        <x:v>15 researched leads + keyword map</x:v>
      </x:c>
    </x:row>
    <x:row r="4">
      <x:c r="A4" s="23" t="str"/>
      <x:c r="B4" s="24" t="str"/>
      <x:c r="C4" s="24" t="str"/>
      <x:c r="D4" s="25" t="str"/>
    </x:row>
    <x:row r="5">
      <x:c r="A5" s="61" t="str">
        <x:v>Market</x:v>
      </x:c>
      <x:c r="B5" s="62" t="str">
        <x:v>Lead Count</x:v>
      </x:c>
      <x:c r="C5" s="62" t="str">
        <x:v>High Priority</x:v>
      </x:c>
      <x:c r="D5" s="63" t="str">
        <x:v>Primary Entry Angle</x:v>
      </x:c>
    </x:row>
    <x:row r="6">
      <x:c r="A6" s="23" t="str">
        <x:v>Sweden</x:v>
      </x:c>
      <x:c r="B6" s="24" t="n">
        <x:f>COUNTIF(Leads!B:B,"Sweden")</x:f>
        <x:v>5</x:v>
      </x:c>
      <x:c r="C6" s="24" t="n">
        <x:f>COUNTIFS(Leads!B:B,"Sweden",Leads!C:C,"High")</x:f>
        <x:v>3</x:v>
      </x:c>
      <x:c r="D6" s="25" t="str">
        <x:v>Distributor-led / HoReCa / ethnic wholesale</x:v>
      </x:c>
    </x:row>
    <x:row r="7">
      <x:c r="A7" s="23" t="str">
        <x:v>Poland</x:v>
      </x:c>
      <x:c r="B7" s="24" t="n">
        <x:f>COUNTIF(Leads!B:B,"Poland")</x:f>
        <x:v>5</x:v>
      </x:c>
      <x:c r="C7" s="24" t="n">
        <x:f>COUNTIFS(Leads!B:B,"Poland",Leads!C:C,"High")</x:f>
        <x:v>3</x:v>
      </x:c>
      <x:c r="D7" s="25" t="str">
        <x:v>Importer-distributor / private label / HoReCa</x:v>
      </x:c>
    </x:row>
    <x:row r="8">
      <x:c r="A8" s="23" t="str">
        <x:v>Romania</x:v>
      </x:c>
      <x:c r="B8" s="24" t="n">
        <x:f>COUNTIF(Leads!B:B,"Romania")</x:f>
        <x:v>5</x:v>
      </x:c>
      <x:c r="C8" s="24" t="n">
        <x:f>COUNTIFS(Leads!B:B,"Romania",Leads!C:C,"High")</x:f>
        <x:v>3</x:v>
      </x:c>
      <x:c r="D8" s="25" t="str">
        <x:v>Retail + HoReCa + halal channel mix</x:v>
      </x:c>
    </x:row>
    <x:row r="9">
      <x:c r="A9" s="23" t="str"/>
      <x:c r="B9" s="24" t="str"/>
      <x:c r="C9" s="24" t="str"/>
      <x:c r="D9" s="25" t="str"/>
    </x:row>
    <x:row r="10">
      <x:c r="A10" s="141" t="str">
        <x:v>Cross-Market Takeaways</x:v>
      </x:c>
      <x:c r="B10" s="142" t="str"/>
      <x:c r="C10" s="142" t="str"/>
      <x:c r="D10" s="143" t="str"/>
    </x:row>
    <x:row r="11">
      <x:c r="A11" s="23" t="str">
        <x:v>Strongest immediate commercial fit</x:v>
      </x:c>
      <x:c r="B11" s="24" t="str">
        <x:v>Poland</x:v>
      </x:c>
      <x:c r="C11" s="24" t="str"/>
      <x:c r="D11" s="25" t="str">
        <x:v>Deep importer/distributor base plus explicit halal adjacency</x:v>
      </x:c>
    </x:row>
    <x:row r="12">
      <x:c r="A12" s="23" t="str">
        <x:v>Best Scandinavia entry point</x:v>
      </x:c>
      <x:c r="B12" s="24" t="str">
        <x:v>Sweden</x:v>
      </x:c>
      <x:c r="C12" s="24" t="str"/>
      <x:c r="D12" s="25" t="str">
        <x:v>Ethnic-food import and wholesale concentration</x:v>
      </x:c>
    </x:row>
    <x:row r="13">
      <x:c r="A13" s="26" t="str">
        <x:v>Best dedicated halal adjacency</x:v>
      </x:c>
      <x:c r="B13" s="27" t="str">
        <x:v>Romania</x:v>
      </x:c>
      <x:c r="C13" s="27" t="str"/>
      <x:c r="D13" s="28" t="str">
        <x:v>AYT + Sydra + Romania halal ecosystem signals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3" max="3" width="90" hidden="0" customWidth="1"/>
  </x:cols>
  <x:sheetData>
    <x:row r="1">
      <x:c r="A1" s="61" t="str">
        <x:v>Country</x:v>
      </x:c>
      <x:c r="B1" s="62" t="str">
        <x:v>Keyword Bucket</x:v>
      </x:c>
      <x:c r="C1" s="63" t="str">
        <x:v>Keywords / Search Strings</x:v>
      </x:c>
    </x:row>
    <x:row r="2" ht="38" customHeight="1">
      <x:c r="A2" s="23" t="str">
        <x:v>Sweden</x:v>
      </x:c>
      <x:c r="B2" s="24" t="str">
        <x:v>Company terms</x:v>
      </x:c>
      <x:c r="C2" s="25" t="str">
        <x:v>importör livsmedel Sverige; distributör livsmedel Sverige; grossist livsmedel Sverige; halal mat Sverige; etnisk mat Sverige; restauranggrossist Sverige; HoReCa leverantör Sverige</x:v>
      </x:c>
    </x:row>
    <x:row r="3" ht="38" customHeight="1">
      <x:c r="A3" s="23" t="str">
        <x:v>Sweden</x:v>
      </x:c>
      <x:c r="B3" s="24" t="str">
        <x:v>Buyer titles</x:v>
      </x:c>
      <x:c r="C3" s="25" t="str">
        <x:v>Inköpschef; Inköpare; Strategisk inköpare; Kategoriansvarig; Kategorichef; Kommersiell chef; Importansvarig; Supply Chain Manager</x:v>
      </x:c>
    </x:row>
    <x:row r="4" ht="38" customHeight="1">
      <x:c r="A4" s="23" t="str">
        <x:v>Poland</x:v>
      </x:c>
      <x:c r="B4" s="24" t="str">
        <x:v>Company terms</x:v>
      </x:c>
      <x:c r="C4" s="25" t="str">
        <x:v>importer artykułów spożywczych Polska; dystrybutor artykułów spożywczych Polska; hurtownia spożywcza Polska; produkty etniczne Polska; dostawca HoReCa Polska; dystrybutor halal Polska</x:v>
      </x:c>
    </x:row>
    <x:row r="5" ht="38" customHeight="1">
      <x:c r="A5" s="23" t="str">
        <x:v>Poland</x:v>
      </x:c>
      <x:c r="B5" s="24" t="str">
        <x:v>Buyer titles</x:v>
      </x:c>
      <x:c r="C5" s="25" t="str">
        <x:v>Dyrektor Zakupów; Kierownik Zakupów; Specjalista ds. Zakupów; Kupiec; Menedżer Kategorii; Dyrektor Handlowy; Menedżer Importu; Kierownik ds. Zaopatrzenia</x:v>
      </x:c>
    </x:row>
    <x:row r="6" ht="38" customHeight="1">
      <x:c r="A6" s="23" t="str">
        <x:v>Romania</x:v>
      </x:c>
      <x:c r="B6" s="24" t="str">
        <x:v>Company terms</x:v>
      </x:c>
      <x:c r="C6" s="25" t="str">
        <x:v>importator produse alimentare Romania; distribuitor produse alimentare Romania; angro produse alimentare Romania; furnizor HoReCa Romania; produse etnice Romania; magazin halal Romania</x:v>
      </x:c>
    </x:row>
    <x:row r="7" ht="38" customHeight="1">
      <x:c r="A7" s="26" t="str">
        <x:v>Romania</x:v>
      </x:c>
      <x:c r="B7" s="27" t="str">
        <x:v>Buyer titles</x:v>
      </x:c>
      <x:c r="C7" s="28" t="str">
        <x:v>Director Achiziții; Manager Achiziții; Responsabil Achiziții; Achizitor; Manager Categorie; Director Comercial; Manager Import; Responsabil Aprovizionare</x:v>
      </x:c>
    </x:row>
  </x:sheetData>
  <x:pageMargins left="0.7" right="0.7" top="0.75" bottom="0.75" header="0.3" footer="0.3"/>
</x:worksheet>
</file>